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/>
  <mc:AlternateContent xmlns:mc="http://schemas.openxmlformats.org/markup-compatibility/2006">
    <mc:Choice Requires="x15">
      <x15ac:absPath xmlns:x15ac="http://schemas.microsoft.com/office/spreadsheetml/2010/11/ac" url="C:\Users\JANE\Desktop\ax\TP Alram System\raw data\"/>
    </mc:Choice>
  </mc:AlternateContent>
  <xr:revisionPtr revIDLastSave="0" documentId="13_ncr:1_{2178B6CB-1762-49DD-8FD5-FAD0E90E7381}" xr6:coauthVersionLast="47" xr6:coauthVersionMax="47" xr10:uidLastSave="{00000000-0000-0000-0000-000000000000}"/>
  <bookViews>
    <workbookView xWindow="-108" yWindow="-108" windowWidth="23256" windowHeight="12456" tabRatio="731" firstSheet="3" activeTab="13" xr2:uid="{936681E2-DCEA-45C5-8D3D-9AAC680EE148}"/>
  </bookViews>
  <sheets>
    <sheet name="소재x지퍼" sheetId="1" r:id="rId1"/>
    <sheet name="디자인x봉제구조" sheetId="9" r:id="rId2"/>
    <sheet name="소재x부자재" sheetId="12" r:id="rId3"/>
    <sheet name="소재x소재물성" sheetId="10" r:id="rId4"/>
    <sheet name="소재x아트웍기법" sheetId="14" r:id="rId5"/>
    <sheet name="고어텍스원단" sheetId="11" r:id="rId6"/>
    <sheet name="기타" sheetId="17" r:id="rId7"/>
    <sheet name="원단구분" sheetId="18" r:id="rId8"/>
    <sheet name="지퍼 구분" sheetId="22" r:id="rId9"/>
    <sheet name="아트웍구분" sheetId="27" r:id="rId10"/>
    <sheet name="디테일구분" sheetId="19" r:id="rId11"/>
    <sheet name="부자재구분" sheetId="26" r:id="rId12"/>
    <sheet name="워싱구분" sheetId="20" r:id="rId13"/>
    <sheet name="경고알람기준" sheetId="23" r:id="rId14"/>
  </sheets>
  <definedNames>
    <definedName name="__AVANADE_TEMPLATE" hidden="1">#REF!</definedName>
    <definedName name="__BABY_STORE_COUNT" hidden="1">#REF!</definedName>
    <definedName name="__BULK_CARRY1" hidden="1">#REF!</definedName>
    <definedName name="__BULK_CARRY2" hidden="1">#REF!</definedName>
    <definedName name="__BULK_CARRY3" hidden="1">#REF!</definedName>
    <definedName name="__BULK_CARRY4" hidden="1">#REF!</definedName>
    <definedName name="__CATEGORY1" hidden="1">#REF!</definedName>
    <definedName name="__CATEGORY2" hidden="1">#REF!</definedName>
    <definedName name="__CATEGORY3" hidden="1">#REF!</definedName>
    <definedName name="__CATEGORY4" hidden="1">#REF!</definedName>
    <definedName name="__CATEGORY5" hidden="1">#REF!</definedName>
    <definedName name="__COUNTRY_ID" hidden="1">#REF!</definedName>
    <definedName name="__CURRENT_STORE_COUNT" hidden="1">#REF!</definedName>
    <definedName name="__DIVISION" hidden="1">#REF!</definedName>
    <definedName name="__FABRIC_FACTORY" hidden="1">#REF!</definedName>
    <definedName name="__G_WH" hidden="1">#REF!</definedName>
    <definedName name="__HEADER_MONTH" hidden="1">#REF!</definedName>
    <definedName name="__JP_CONVERT_CURRENCY_RATE" hidden="1">#REF!</definedName>
    <definedName name="__LISTED_PRICE" hidden="1">#REF!</definedName>
    <definedName name="__OP_ADDITIONAL_PLAN" hidden="1">#REF!</definedName>
    <definedName name="__OP_ALLOCATION_END_DATE" hidden="1">#REF!</definedName>
    <definedName name="__OP_ALLOCATION_PLAN_10TH" hidden="1">#REF!</definedName>
    <definedName name="__OP_ALLOCATION_PLAN_11TH" hidden="1">#REF!</definedName>
    <definedName name="__OP_ALLOCATION_PLAN_12TH" hidden="1">#REF!</definedName>
    <definedName name="__OP_ALLOCATION_PLAN_1ST" hidden="1">#REF!</definedName>
    <definedName name="__OP_ALLOCATION_PLAN_2ND" hidden="1">#REF!</definedName>
    <definedName name="__OP_ALLOCATION_PLAN_3RD" hidden="1">#REF!</definedName>
    <definedName name="__OP_ALLOCATION_PLAN_4TH" hidden="1">#REF!</definedName>
    <definedName name="__OP_ALLOCATION_PLAN_5TH" hidden="1">#REF!</definedName>
    <definedName name="__OP_ALLOCATION_PLAN_6TH" hidden="1">#REF!</definedName>
    <definedName name="__OP_ALLOCATION_PLAN_7TH" hidden="1">#REF!</definedName>
    <definedName name="__OP_ALLOCATION_PLAN_8TH" hidden="1">#REF!</definedName>
    <definedName name="__OP_ALLOCATION_PLAN_9TH" hidden="1">#REF!</definedName>
    <definedName name="__OP_ALLOCATION_PLAN_TOTAL" hidden="1">#REF!</definedName>
    <definedName name="__OP_CARRY_STOCK_AMOUNT" hidden="1">#REF!</definedName>
    <definedName name="__OP_CARRY_STOCK_QTY" hidden="1">#REF!</definedName>
    <definedName name="__OP_CATEGORY_LEVEL1_NAME" hidden="1">#REF!</definedName>
    <definedName name="__OP_CATEGORY_LEVEL2_NAME" hidden="1">#REF!</definedName>
    <definedName name="__OP_CATEGORY_LEVEL3_NAME" hidden="1">#REF!</definedName>
    <definedName name="__OP_CATEGORY_LEVEL4_NAME" hidden="1">#REF!</definedName>
    <definedName name="__OP_CHG_GLOBAL_WAREHOUSE" hidden="1">#REF!</definedName>
    <definedName name="__OP_CHG_LISTED_PRICE" hidden="1">#REF!</definedName>
    <definedName name="__OP_CHG_MAX_PLAN_QTY" hidden="1">#REF!</definedName>
    <definedName name="__OP_CHG_PLANNING_SUM_ITEM_NAME" hidden="1">#REF!</definedName>
    <definedName name="__OP_CHG_STD_PLAN_QTY" hidden="1">#REF!</definedName>
    <definedName name="__OP_CHG_STORE_TYPE_NAME" hidden="1">#REF!</definedName>
    <definedName name="__OP_COMMENTS_1" hidden="1">#REF!</definedName>
    <definedName name="__OP_COMMENTS_2" hidden="1">#REF!</definedName>
    <definedName name="__OP_COMMENTS_3" hidden="1">#REF!</definedName>
    <definedName name="__OP_CORE_CATEGORY_NAME" hidden="1">#REF!</definedName>
    <definedName name="__OP_DIFF_GLOBAL_WAREHOUSE" hidden="1">#REF!</definedName>
    <definedName name="__OP_DIFF_LISTED_PRICE" hidden="1">#REF!</definedName>
    <definedName name="__OP_DIFF_MAX_PLAN_QTY" hidden="1">#REF!</definedName>
    <definedName name="__OP_DIFF_PLANNING_SUM_ITEM_NAME" hidden="1">#REF!</definedName>
    <definedName name="__OP_DIFF_REV_VIEW" hidden="1">#REF!</definedName>
    <definedName name="__OP_DIFF_STD_PLAN_QTY" hidden="1">#REF!</definedName>
    <definedName name="__OP_DIFF_STORE_TYPE_NAME" hidden="1">#REF!</definedName>
    <definedName name="__OP_DISPLAY_SORT" hidden="1">#REF!</definedName>
    <definedName name="__OP_DIVISION_NAME" hidden="1">#REF!</definedName>
    <definedName name="__OP_ETC001" hidden="1">#REF!</definedName>
    <definedName name="__OP_ETC002" hidden="1">#REF!</definedName>
    <definedName name="__OP_ETC003" hidden="1">#REF!</definedName>
    <definedName name="__OP_ETC004" hidden="1">#REF!</definedName>
    <definedName name="__OP_ETC005" hidden="1">#REF!</definedName>
    <definedName name="__OP_ETC006" hidden="1">#REF!</definedName>
    <definedName name="__OP_ETC007" hidden="1">#REF!</definedName>
    <definedName name="__OP_ETC008" hidden="1">#REF!</definedName>
    <definedName name="__OP_ETC009" hidden="1">#REF!</definedName>
    <definedName name="__OP_ETC010" hidden="1">#REF!</definedName>
    <definedName name="__OP_ETC011" hidden="1">#REF!</definedName>
    <definedName name="__OP_ETC012" hidden="1">#REF!</definedName>
    <definedName name="__OP_ETC013" hidden="1">#REF!</definedName>
    <definedName name="__OP_ETC014" hidden="1">#REF!</definedName>
    <definedName name="__OP_ETC015" hidden="1">#REF!</definedName>
    <definedName name="__OP_ETC016" hidden="1">#REF!</definedName>
    <definedName name="__OP_ETC017" hidden="1">#REF!</definedName>
    <definedName name="__OP_ETC018" hidden="1">#REF!</definedName>
    <definedName name="__OP_ETC019" hidden="1">#REF!</definedName>
    <definedName name="__OP_ETC020" hidden="1">#REF!</definedName>
    <definedName name="__OP_ETC021" hidden="1">#REF!</definedName>
    <definedName name="__OP_ETC022" hidden="1">#REF!</definedName>
    <definedName name="__OP_ETC023" hidden="1">#REF!</definedName>
    <definedName name="__OP_ETC024" hidden="1">#REF!</definedName>
    <definedName name="__OP_ETC025" hidden="1">#REF!</definedName>
    <definedName name="__OP_ETC026" hidden="1">#REF!</definedName>
    <definedName name="__OP_ETC027" hidden="1">#REF!</definedName>
    <definedName name="__OP_ETC028" hidden="1">#REF!</definedName>
    <definedName name="__OP_ETC029" hidden="1">#REF!</definedName>
    <definedName name="__OP_ETC030" hidden="1">#REF!</definedName>
    <definedName name="__OP_ETC031" hidden="1">#REF!</definedName>
    <definedName name="__OP_ETC032" hidden="1">#REF!</definedName>
    <definedName name="__OP_ETC033" hidden="1">#REF!</definedName>
    <definedName name="__OP_ETC034" hidden="1">#REF!</definedName>
    <definedName name="__OP_ETC035" hidden="1">#REF!</definedName>
    <definedName name="__OP_ETC036" hidden="1">#REF!</definedName>
    <definedName name="__OP_ETC037" hidden="1">#REF!</definedName>
    <definedName name="__OP_ETC038" hidden="1">#REF!</definedName>
    <definedName name="__OP_ETC039" hidden="1">#REF!</definedName>
    <definedName name="__OP_ETC040" hidden="1">#REF!</definedName>
    <definedName name="__OP_ETC041" hidden="1">#REF!</definedName>
    <definedName name="__OP_ETC042" hidden="1">#REF!</definedName>
    <definedName name="__OP_ETC043" hidden="1">#REF!</definedName>
    <definedName name="__OP_ETC044" hidden="1">#REF!</definedName>
    <definedName name="__OP_FABRIC_CATEGORY_NAME" hidden="1">#REF!</definedName>
    <definedName name="__OP_FABRIC_FACTORY" hidden="1">#REF!</definedName>
    <definedName name="__OP_GLOBAL_WAREHOUSE" hidden="1">#REF!</definedName>
    <definedName name="__OP_LAYOUT_PLAN_YEAR_MONTH" hidden="1">#REF!</definedName>
    <definedName name="__OP_LISTED_PRICE" hidden="1">#REF!</definedName>
    <definedName name="__OP_LISTED_PRICE_JP" hidden="1">#REF!</definedName>
    <definedName name="__OP_LOCAL_PLANNING_SUM_ITEM_NAME" hidden="1">#REF!</definedName>
    <definedName name="__OP_MATERIAL_CATEGORY_NAME" hidden="1">#REF!</definedName>
    <definedName name="__OP_MAX_PLAN_AMOUNT" hidden="1">#REF!</definedName>
    <definedName name="__OP_MAX_PLAN_NET_SALES" hidden="1">#REF!</definedName>
    <definedName name="__OP_MAX_PLAN_QTY" hidden="1">#REF!</definedName>
    <definedName name="__OP_MAX_PLAN_QTY_ONE" hidden="1">#REF!</definedName>
    <definedName name="__OP_MAX_PLAN_QTY_ONE_JP" hidden="1">#REF!</definedName>
    <definedName name="__OP_MAX_PLAN_QTY_ONE_JP_RATIO" hidden="1">#REF!</definedName>
    <definedName name="__OP_MAX_PLAN_YtoY_AMOUNT_RATIO" hidden="1">#REF!</definedName>
    <definedName name="__OP_MERCHANDISING_DESIGN" hidden="1">#REF!</definedName>
    <definedName name="__OP_MIN_PLAN_AMOUNT" hidden="1">#REF!</definedName>
    <definedName name="__OP_MIN_PLAN_NET_SALES" hidden="1">#REF!</definedName>
    <definedName name="__OP_MIN_PLAN_QTY" hidden="1">#REF!</definedName>
    <definedName name="__OP_MIN_PLAN_QTY_ONE" hidden="1">#REF!</definedName>
    <definedName name="__OP_MIN_PLAN_QTY_ONE_JP" hidden="1">#REF!</definedName>
    <definedName name="__OP_MIN_PLAN_QTY_ONE_JP_RATIO" hidden="1">#REF!</definedName>
    <definedName name="__OP_MIN_PLAN_YtoY_AMOUNT_RATIO" hidden="1">#REF!</definedName>
    <definedName name="__OP_MONTHLY_SALES_PLAN_10TH" hidden="1">#REF!</definedName>
    <definedName name="__OP_MONTHLY_SALES_PLAN_11TH" hidden="1">#REF!</definedName>
    <definedName name="__OP_MONTHLY_SALES_PLAN_12TH" hidden="1">#REF!</definedName>
    <definedName name="__OP_MONTHLY_SALES_PLAN_1ST" hidden="1">#REF!</definedName>
    <definedName name="__OP_MONTHLY_SALES_PLAN_2ND" hidden="1">#REF!</definedName>
    <definedName name="__OP_MONTHLY_SALES_PLAN_3RD" hidden="1">#REF!</definedName>
    <definedName name="__OP_MONTHLY_SALES_PLAN_4TH" hidden="1">#REF!</definedName>
    <definedName name="__OP_MONTHLY_SALES_PLAN_5TH" hidden="1">#REF!</definedName>
    <definedName name="__OP_MONTHLY_SALES_PLAN_6TH" hidden="1">#REF!</definedName>
    <definedName name="__OP_MONTHLY_SALES_PLAN_7TH" hidden="1">#REF!</definedName>
    <definedName name="__OP_MONTHLY_SALES_PLAN_8TH" hidden="1">#REF!</definedName>
    <definedName name="__OP_MONTHLY_SALES_PLAN_9TH" hidden="1">#REF!</definedName>
    <definedName name="__OP_MONTHLY_SALES_PLAN_AVERAGE" hidden="1">#REF!</definedName>
    <definedName name="__OP_MONTHLY_SALES_PLAN_TOTAL" hidden="1">#REF!</definedName>
    <definedName name="__OP_NO" hidden="1">#REF!</definedName>
    <definedName name="__OP_NOTIFY_TARGET_CHANGE_FLGS" hidden="1">#REF!</definedName>
    <definedName name="__OP_NOTIFY_TARGET_DIFF_FLGS" hidden="1">#REF!</definedName>
    <definedName name="__OP_NOTIFY_TARGET_VIEW_ITEM" hidden="1">#REF!</definedName>
    <definedName name="__OP_ORG_SEASON" hidden="1">#REF!</definedName>
    <definedName name="__OP_PLANNING_SUM_ITEM_COUNT" hidden="1">#REF!</definedName>
    <definedName name="__OP_PLANNING_SUM_ITEM_COUNT_BIG_STORE" hidden="1">#REF!</definedName>
    <definedName name="__OP_PLANNING_SUM_ITEM_ID" hidden="1">#REF!</definedName>
    <definedName name="__OP_PLANNING_SUM_ITEM_NAME" hidden="1">#REF!</definedName>
    <definedName name="__OP_PREVIOUS_PERIOD_SUM_ITEM_DISCOUNT_RATE" hidden="1">#REF!</definedName>
    <definedName name="__OP_PREVIOUS_PERIOD_SUM_ITEM_NAME" hidden="1">#REF!</definedName>
    <definedName name="__OP_PREVIOUS_PERIOD_SUM_ITEM_SALES_AMOUNT" hidden="1">#REF!</definedName>
    <definedName name="__OP_PREVIOUS_PERIOD_SUM_ITEM_SALES_COUNT" hidden="1">#REF!</definedName>
    <definedName name="__OP_PRODUCTION_PLAN_10TH" hidden="1">#REF!</definedName>
    <definedName name="__OP_PRODUCTION_PLAN_11TH" hidden="1">#REF!</definedName>
    <definedName name="__OP_PRODUCTION_PLAN_12TH" hidden="1">#REF!</definedName>
    <definedName name="__OP_PRODUCTION_PLAN_1ST" hidden="1">#REF!</definedName>
    <definedName name="__OP_PRODUCTION_PLAN_2ND" hidden="1">#REF!</definedName>
    <definedName name="__OP_PRODUCTION_PLAN_3RD" hidden="1">#REF!</definedName>
    <definedName name="__OP_PRODUCTION_PLAN_4TH" hidden="1">#REF!</definedName>
    <definedName name="__OP_PRODUCTION_PLAN_5TH" hidden="1">#REF!</definedName>
    <definedName name="__OP_PRODUCTION_PLAN_6TH" hidden="1">#REF!</definedName>
    <definedName name="__OP_PRODUCTION_PLAN_7TH" hidden="1">#REF!</definedName>
    <definedName name="__OP_PRODUCTION_PLAN_8TH" hidden="1">#REF!</definedName>
    <definedName name="__OP_PRODUCTION_PLAN_9TH" hidden="1">#REF!</definedName>
    <definedName name="__OP_PRODUCTION_PLAN_REQUIRED_QTY" hidden="1">#REF!</definedName>
    <definedName name="__OP_PRODUCTION_PLAN_TOTAL" hidden="1">#REF!</definedName>
    <definedName name="__OP_RECOGNIZED_CARRY_AMOUNT" hidden="1">#REF!</definedName>
    <definedName name="__OP_RECOGNIZED_CARRY_QTY" hidden="1">#REF!</definedName>
    <definedName name="__OP_REV" hidden="1">#REF!</definedName>
    <definedName name="__OP_REV_VIEW" hidden="1">#REF!</definedName>
    <definedName name="__OP_SALES_END_DATE" hidden="1">#REF!</definedName>
    <definedName name="__OP_SALES_START_DATE" hidden="1">#REF!</definedName>
    <definedName name="__OP_SEASON_NAME" hidden="1">#REF!</definedName>
    <definedName name="__OP_SEASON_SORT" hidden="1">#REF!</definedName>
    <definedName name="__OP_SEWING_FACTORY" hidden="1">#REF!</definedName>
    <definedName name="__OP_SEWING_tCOEFFICIENT" hidden="1">#REF!</definedName>
    <definedName name="__OP_SIZE_COUNT" hidden="1">#REF!</definedName>
    <definedName name="__OP_SIZE_LINENUP" hidden="1">#REF!</definedName>
    <definedName name="__OP_SKU_QTY_ALL_STORE" hidden="1">#REF!</definedName>
    <definedName name="__OP_SKU_QTY_ALL_STORE_PREVIOUS" hidden="1">#REF!</definedName>
    <definedName name="__OP_SKU_QTY_BIG_STORE" hidden="1">#REF!</definedName>
    <definedName name="__OP_SKU_QTY_BIG_STORE_PREVIOUS" hidden="1">#REF!</definedName>
    <definedName name="__OP_SKU_QTY_ONE_STORE" hidden="1">#REF!</definedName>
    <definedName name="__OP_SKU_QTY_ONE_STORE_PREVIOUS" hidden="1">#REF!</definedName>
    <definedName name="__OP_SMALL_COMMENT1" hidden="1">#REF!</definedName>
    <definedName name="__OP_SMALL_COMMENT2" hidden="1">#REF!</definedName>
    <definedName name="__OP_SMALL_COMMENT3" hidden="1">#REF!</definedName>
    <definedName name="__OP_SOTRE_TYPE_COUNT" hidden="1">#REF!</definedName>
    <definedName name="__OP_STD_DISCOUNT_RATE" hidden="1">#REF!</definedName>
    <definedName name="__OP_STD_PLAN_AMOUNT" hidden="1">#REF!</definedName>
    <definedName name="__OP_STD_PLAN_NET_SALES" hidden="1">#REF!</definedName>
    <definedName name="__OP_STD_PLAN_QTY" hidden="1">#REF!</definedName>
    <definedName name="__OP_STD_PLAN_QTY_ONE" hidden="1">#REF!</definedName>
    <definedName name="__OP_STD_PLAN_QTY_ONE_JP" hidden="1">#REF!</definedName>
    <definedName name="__OP_STD_PLAN_QTY_ONE_JP_RATIO" hidden="1">#REF!</definedName>
    <definedName name="__OP_STD_PLAN_YtoY_AMOUNT_RATIO" hidden="1">#REF!</definedName>
    <definedName name="__OP_STORE_TYPE_COUNT_JP" hidden="1">#REF!</definedName>
    <definedName name="__OP_STORE_TYPE_NAME" hidden="1">#REF!</definedName>
    <definedName name="__OP_STORE_TYPE_NAME_JP" hidden="1">#REF!</definedName>
    <definedName name="__OP_SUBCATEGORY_NAME" hidden="1">#REF!</definedName>
    <definedName name="__OP_VIEW_GLOBAL_WAREHOUSE" hidden="1">#REF!</definedName>
    <definedName name="__OP_VIEW_LISTED_PRICE" hidden="1">#REF!</definedName>
    <definedName name="__OP_VIEW_MAX_PLAN_NET_SALES" hidden="1">#REF!</definedName>
    <definedName name="__OP_VIEW_MAX_PLAN_QTY" hidden="1">#REF!</definedName>
    <definedName name="__OP_VIEW_MIN_PLAN_NET_SALES" hidden="1">#REF!</definedName>
    <definedName name="__OP_VIEW_MIN_PLAN_QTY" hidden="1">#REF!</definedName>
    <definedName name="__OP_VIEW_PLANNING_SUM_ITEM_NAME" hidden="1">#REF!</definedName>
    <definedName name="__OP_VIEW_RECOGNIZED_CARRY_AMOUNT" hidden="1">#REF!</definedName>
    <definedName name="__OP_VIEW_STD_PLAN_NET_SALES" hidden="1">#REF!</definedName>
    <definedName name="__OP_VIEW_STD_PLAN_QTY" hidden="1">#REF!</definedName>
    <definedName name="__OP_VIEW_STORE_TYPE_NAME" hidden="1">#REF!</definedName>
    <definedName name="__PREV1_BABY_STORE_COUNT" hidden="1">#REF!</definedName>
    <definedName name="__PREV1_STORE_COUNT" hidden="1">#REF!</definedName>
    <definedName name="__PREV2_BABY_STORE_COUNT" hidden="1">#REF!</definedName>
    <definedName name="__PREV2_STORE_COUNT" hidden="1">#REF!</definedName>
    <definedName name="__PREVIOUS_STORE_COUNT1" hidden="1">#REF!</definedName>
    <definedName name="__PREVIOUS_STORE_COUNT2" hidden="1">#REF!</definedName>
    <definedName name="__SEASON" hidden="1">#REF!</definedName>
    <definedName name="__SEASON_SORT" hidden="1">#REF!</definedName>
    <definedName name="__SEASON_TOTAL" hidden="1">#REF!</definedName>
    <definedName name="__SEASON1" hidden="1">#REF!</definedName>
    <definedName name="__SEASON2" hidden="1">#REF!</definedName>
    <definedName name="__SEASON3" hidden="1">#REF!</definedName>
    <definedName name="__SEASON4" hidden="1">#REF!</definedName>
    <definedName name="__SEASON5" hidden="1">#REF!</definedName>
    <definedName name="__SIZE_LINENUP" hidden="1">#REF!</definedName>
    <definedName name="__STATUS" hidden="1">#REF!</definedName>
    <definedName name="__STD_CARRY1" hidden="1">#REF!</definedName>
    <definedName name="__STD_CARRY2" hidden="1">#REF!</definedName>
    <definedName name="__STD_CARRY3" hidden="1">#REF!</definedName>
    <definedName name="__STD_CARRY4" hidden="1">#REF!</definedName>
    <definedName name="__STORE_COUNT" hidden="1">#REF!</definedName>
    <definedName name="__STORE_TYPE" hidden="1">#REF!</definedName>
    <definedName name="__SUBCATEGORY" hidden="1">#REF!</definedName>
    <definedName name="__SUMMARY_CURRENT_YS" hidden="1">#REF!</definedName>
    <definedName name="__SUMMARY_DIVISION_NAME" hidden="1">#REF!</definedName>
    <definedName name="__SUMMARY_PREV1_YS" hidden="1">#REF!</definedName>
    <definedName name="__SUMMARY_PREV2_YS" hidden="1">#REF!</definedName>
    <definedName name="__SUMMARY_SUBCATEGORY_TABLE" hidden="1">#REF!</definedName>
    <definedName name="__SWNG_FACTORY" hidden="1">#REF!</definedName>
    <definedName name="__TAX_RATE" hidden="1">#REF!</definedName>
    <definedName name="__TITLE" hidden="1">#REF!</definedName>
    <definedName name="__YEAR_MONTH" hidden="1">#REF!</definedName>
    <definedName name="_Fill" hidden="1">#REF!</definedName>
    <definedName name="_xlnm._FilterDatabase" localSheetId="5" hidden="1">고어텍스원단!$A$1:$N$6</definedName>
    <definedName name="_xlnm._FilterDatabase" localSheetId="6" hidden="1">기타!$A$1:$K$13</definedName>
    <definedName name="_xlnm._FilterDatabase" localSheetId="1">디자인x봉제구조!$A$1:$X$84</definedName>
    <definedName name="_xlnm._FilterDatabase" localSheetId="2" hidden="1">소재x부자재!$A$1:$N$25</definedName>
    <definedName name="_xlnm._FilterDatabase" localSheetId="3" hidden="1">소재x소재물성!$A$1:$N$14</definedName>
    <definedName name="_xlnm._FilterDatabase" localSheetId="4" hidden="1">소재x아트웍기법!$A$1:$N$12</definedName>
    <definedName name="_xlnm._FilterDatabase" localSheetId="0" hidden="1">소재x지퍼!$A$1:$L$70</definedName>
    <definedName name="_xlnm._FilterDatabase" hidden="1">#REF!</definedName>
    <definedName name="_FilterDatabase_1" hidden="1">#REF!</definedName>
    <definedName name="_Key1" hidden="1">#REF!</definedName>
    <definedName name="_Order1" hidden="1">#REF!</definedName>
    <definedName name="_Regression_X" hidden="1">#REF!</definedName>
    <definedName name="_Sort" hidden="1">#REF!</definedName>
    <definedName name="A" hidden="1">#REF!</definedName>
    <definedName name="aaa" localSheetId="10" hidden="1">{#N/A,#N/A,FALSE,"95FW"}</definedName>
    <definedName name="aaa" localSheetId="12" hidden="1">{#N/A,#N/A,FALSE,"95FW"}</definedName>
    <definedName name="aaa" localSheetId="7" hidden="1">{#N/A,#N/A,FALSE,"95FW"}</definedName>
    <definedName name="aaa" hidden="1">{#N/A,#N/A,FALSE,"95FW"}</definedName>
    <definedName name="aaa_1" localSheetId="10" hidden="1">{#N/A,#N/A,FALSE,"95FW"}</definedName>
    <definedName name="aaa_1" localSheetId="12" hidden="1">{#N/A,#N/A,FALSE,"95FW"}</definedName>
    <definedName name="aaa_1" localSheetId="7" hidden="1">{#N/A,#N/A,FALSE,"95FW"}</definedName>
    <definedName name="aaa_1" hidden="1">{#N/A,#N/A,FALSE,"95FW"}</definedName>
    <definedName name="ABC" localSheetId="10" hidden="1">{#N/A,#N/A,FALSE,"95FW"}</definedName>
    <definedName name="ABC" localSheetId="12" hidden="1">{#N/A,#N/A,FALSE,"95FW"}</definedName>
    <definedName name="ABC" localSheetId="7" hidden="1">{#N/A,#N/A,FALSE,"95FW"}</definedName>
    <definedName name="ABC" hidden="1">{#N/A,#N/A,FALSE,"95FW"}</definedName>
    <definedName name="ABC_1" localSheetId="10" hidden="1">{#N/A,#N/A,FALSE,"95FW"}</definedName>
    <definedName name="ABC_1" localSheetId="12" hidden="1">{#N/A,#N/A,FALSE,"95FW"}</definedName>
    <definedName name="ABC_1" localSheetId="7" hidden="1">{#N/A,#N/A,FALSE,"95FW"}</definedName>
    <definedName name="ABC_1" hidden="1">{#N/A,#N/A,FALSE,"95FW"}</definedName>
    <definedName name="ACC" localSheetId="10" hidden="1">{#N/A,#N/A,FALSE,"95FW"}</definedName>
    <definedName name="ACC" localSheetId="12" hidden="1">{#N/A,#N/A,FALSE,"95FW"}</definedName>
    <definedName name="ACC" localSheetId="7" hidden="1">{#N/A,#N/A,FALSE,"95FW"}</definedName>
    <definedName name="ACC" hidden="1">{#N/A,#N/A,FALSE,"95FW"}</definedName>
    <definedName name="ACC_1" localSheetId="10" hidden="1">{#N/A,#N/A,FALSE,"95FW"}</definedName>
    <definedName name="ACC_1" localSheetId="12" hidden="1">{#N/A,#N/A,FALSE,"95FW"}</definedName>
    <definedName name="ACC_1" localSheetId="7" hidden="1">{#N/A,#N/A,FALSE,"95FW"}</definedName>
    <definedName name="ACC_1" hidden="1">{#N/A,#N/A,FALSE,"95FW"}</definedName>
    <definedName name="Access_Button" hidden="1">"업체현황_카드발송_List"</definedName>
    <definedName name="Access_Button1" hidden="1">"업체현황_카드발송_List"</definedName>
    <definedName name="Access_Button2" hidden="1">"업체현황_카드발송_List"</definedName>
    <definedName name="Access_Button3" hidden="1">"카드발송_카드발송_List1"</definedName>
    <definedName name="Access_Button4" hidden="1">"업체현황_카드발송_List"</definedName>
    <definedName name="AccessDatabase" hidden="1">"C:\생산판매\long98\9802장판원본.mdb"</definedName>
    <definedName name="asd" localSheetId="10" hidden="1">{#N/A,#N/A,FALSE,"95FW"}</definedName>
    <definedName name="asd" localSheetId="12" hidden="1">{#N/A,#N/A,FALSE,"95FW"}</definedName>
    <definedName name="asd" localSheetId="7" hidden="1">{#N/A,#N/A,FALSE,"95FW"}</definedName>
    <definedName name="asd" hidden="1">{#N/A,#N/A,FALSE,"95FW"}</definedName>
    <definedName name="asd_1" localSheetId="10" hidden="1">{#N/A,#N/A,FALSE,"95FW"}</definedName>
    <definedName name="asd_1" localSheetId="12" hidden="1">{#N/A,#N/A,FALSE,"95FW"}</definedName>
    <definedName name="asd_1" localSheetId="7" hidden="1">{#N/A,#N/A,FALSE,"95FW"}</definedName>
    <definedName name="asd_1" hidden="1">{#N/A,#N/A,FALSE,"95FW"}</definedName>
    <definedName name="asdasdasdad" localSheetId="10" hidden="1">{#N/A,#N/A,FALSE,"95FW"}</definedName>
    <definedName name="asdasdasdad" localSheetId="12" hidden="1">{#N/A,#N/A,FALSE,"95FW"}</definedName>
    <definedName name="asdasdasdad" localSheetId="7" hidden="1">{#N/A,#N/A,FALSE,"95FW"}</definedName>
    <definedName name="asdasdasdad" hidden="1">{#N/A,#N/A,FALSE,"95FW"}</definedName>
    <definedName name="asdasdasdad_1" localSheetId="10" hidden="1">{#N/A,#N/A,FALSE,"95FW"}</definedName>
    <definedName name="asdasdasdad_1" localSheetId="12" hidden="1">{#N/A,#N/A,FALSE,"95FW"}</definedName>
    <definedName name="asdasdasdad_1" localSheetId="7" hidden="1">{#N/A,#N/A,FALSE,"95FW"}</definedName>
    <definedName name="asdasdasdad_1" hidden="1">{#N/A,#N/A,FALSE,"95FW"}</definedName>
    <definedName name="ASDF" hidden="1">#REF!</definedName>
    <definedName name="DJFKDS" hidden="1">#REF!</definedName>
    <definedName name="EV__LASTREFTIME__" hidden="1">"2009-12-01 오후 2:29:31"</definedName>
    <definedName name="ｆ" hidden="1">#REF!</definedName>
    <definedName name="Fall1차" localSheetId="10" hidden="1">{#N/A,#N/A,FALSE,"95FW"}</definedName>
    <definedName name="Fall1차" localSheetId="12" hidden="1">{#N/A,#N/A,FALSE,"95FW"}</definedName>
    <definedName name="Fall1차" localSheetId="7" hidden="1">{#N/A,#N/A,FALSE,"95FW"}</definedName>
    <definedName name="Fall1차" hidden="1">{#N/A,#N/A,FALSE,"95FW"}</definedName>
    <definedName name="Fall1차_1" localSheetId="10" hidden="1">{#N/A,#N/A,FALSE,"95FW"}</definedName>
    <definedName name="Fall1차_1" localSheetId="12" hidden="1">{#N/A,#N/A,FALSE,"95FW"}</definedName>
    <definedName name="Fall1차_1" localSheetId="7" hidden="1">{#N/A,#N/A,FALSE,"95FW"}</definedName>
    <definedName name="Fall1차_1" hidden="1">{#N/A,#N/A,FALSE,"95FW"}</definedName>
    <definedName name="FDGDHGJGCJCJFG" hidden="1">#REF!</definedName>
    <definedName name="FVF" hidden="1">#REF!</definedName>
    <definedName name="FW" localSheetId="10" hidden="1">{#N/A,#N/A,FALSE,"95FW"}</definedName>
    <definedName name="FW" localSheetId="12" hidden="1">{#N/A,#N/A,FALSE,"95FW"}</definedName>
    <definedName name="FW" localSheetId="7" hidden="1">{#N/A,#N/A,FALSE,"95FW"}</definedName>
    <definedName name="FW" hidden="1">{#N/A,#N/A,FALSE,"95FW"}</definedName>
    <definedName name="FW_1" localSheetId="10" hidden="1">{#N/A,#N/A,FALSE,"95FW"}</definedName>
    <definedName name="FW_1" localSheetId="12" hidden="1">{#N/A,#N/A,FALSE,"95FW"}</definedName>
    <definedName name="FW_1" localSheetId="7" hidden="1">{#N/A,#N/A,FALSE,"95FW"}</definedName>
    <definedName name="FW_1" hidden="1">{#N/A,#N/A,FALSE,"95FW"}</definedName>
    <definedName name="GFDJHKLILIU" hidden="1">#REF!</definedName>
    <definedName name="gzsjdsjy" hidden="1">#REF!</definedName>
    <definedName name="HHH" hidden="1">#REF!</definedName>
    <definedName name="HTML1_1" hidden="1">"[Book2]Sheet1!$A$1:$H$484"</definedName>
    <definedName name="HTML1_10" hidden="1">"obminfo@us.oracle.com"</definedName>
    <definedName name="HTML1_11" hidden="1">1</definedName>
    <definedName name="HTML1_12" hidden="1">"C:\Obm1\obm_html_doc\em_pl.htm"</definedName>
    <definedName name="HTML1_2" hidden="1">1</definedName>
    <definedName name="HTML1_3" hidden="1">"Oracle Business Models"</definedName>
    <definedName name="HTML1_4" hidden="1">"Process Library - Enterprise Management"</definedName>
    <definedName name="HTML1_5" hidden="1">""</definedName>
    <definedName name="HTML1_6" hidden="1">-4146</definedName>
    <definedName name="HTML1_7" hidden="1">-4146</definedName>
    <definedName name="HTML1_8" hidden="1">"7/6/99"</definedName>
    <definedName name="HTML1_9" hidden="1">"OBM Program Office"</definedName>
    <definedName name="HTMLCount" hidden="1">1</definedName>
    <definedName name="kdjfgilk" hidden="1">#REF!</definedName>
    <definedName name="KKJHJ" localSheetId="10" hidden="1">{#N/A,#N/A,FALSE,"95FW"}</definedName>
    <definedName name="KKJHJ" localSheetId="12" hidden="1">{#N/A,#N/A,FALSE,"95FW"}</definedName>
    <definedName name="KKJHJ" localSheetId="7" hidden="1">{#N/A,#N/A,FALSE,"95FW"}</definedName>
    <definedName name="KKJHJ" hidden="1">{#N/A,#N/A,FALSE,"95FW"}</definedName>
    <definedName name="KKJHJ_1" localSheetId="10" hidden="1">{#N/A,#N/A,FALSE,"95FW"}</definedName>
    <definedName name="KKJHJ_1" localSheetId="12" hidden="1">{#N/A,#N/A,FALSE,"95FW"}</definedName>
    <definedName name="KKJHJ_1" localSheetId="7" hidden="1">{#N/A,#N/A,FALSE,"95FW"}</definedName>
    <definedName name="KKJHJ_1" hidden="1">{#N/A,#N/A,FALSE,"95FW"}</definedName>
    <definedName name="M" localSheetId="10" hidden="1">{#N/A,#N/A,FALSE,"95FW"}</definedName>
    <definedName name="M" localSheetId="12" hidden="1">{#N/A,#N/A,FALSE,"95FW"}</definedName>
    <definedName name="M" localSheetId="7" hidden="1">{#N/A,#N/A,FALSE,"95FW"}</definedName>
    <definedName name="M" hidden="1">{#N/A,#N/A,FALSE,"95FW"}</definedName>
    <definedName name="M_1" localSheetId="10" hidden="1">{#N/A,#N/A,FALSE,"95FW"}</definedName>
    <definedName name="M_1" localSheetId="12" hidden="1">{#N/A,#N/A,FALSE,"95FW"}</definedName>
    <definedName name="M_1" localSheetId="7" hidden="1">{#N/A,#N/A,FALSE,"95FW"}</definedName>
    <definedName name="M_1" hidden="1">{#N/A,#N/A,FALSE,"95FW"}</definedName>
    <definedName name="Map" hidden="1">#REF!</definedName>
    <definedName name="ny" localSheetId="10" hidden="1">{#N/A,#N/A,FALSE,"95FW"}</definedName>
    <definedName name="ny" localSheetId="12" hidden="1">{#N/A,#N/A,FALSE,"95FW"}</definedName>
    <definedName name="ny" localSheetId="7" hidden="1">{#N/A,#N/A,FALSE,"95FW"}</definedName>
    <definedName name="ny" hidden="1">{#N/A,#N/A,FALSE,"95FW"}</definedName>
    <definedName name="ny_1" localSheetId="10" hidden="1">{#N/A,#N/A,FALSE,"95FW"}</definedName>
    <definedName name="ny_1" localSheetId="12" hidden="1">{#N/A,#N/A,FALSE,"95FW"}</definedName>
    <definedName name="ny_1" localSheetId="7" hidden="1">{#N/A,#N/A,FALSE,"95FW"}</definedName>
    <definedName name="ny_1" hidden="1">{#N/A,#N/A,FALSE,"95FW"}</definedName>
    <definedName name="RNRNRNR" localSheetId="10" hidden="1">{#N/A,#N/A,FALSE,"95FW"}</definedName>
    <definedName name="RNRNRNR" localSheetId="12" hidden="1">{#N/A,#N/A,FALSE,"95FW"}</definedName>
    <definedName name="RNRNRNR" localSheetId="7" hidden="1">{#N/A,#N/A,FALSE,"95FW"}</definedName>
    <definedName name="RNRNRNR" hidden="1">{#N/A,#N/A,FALSE,"95FW"}</definedName>
    <definedName name="RNRNRNR_1" localSheetId="10" hidden="1">{#N/A,#N/A,FALSE,"95FW"}</definedName>
    <definedName name="RNRNRNR_1" localSheetId="12" hidden="1">{#N/A,#N/A,FALSE,"95FW"}</definedName>
    <definedName name="RNRNRNR_1" localSheetId="7" hidden="1">{#N/A,#N/A,FALSE,"95FW"}</definedName>
    <definedName name="RNRNRNR_1" hidden="1">{#N/A,#N/A,FALSE,"95FW"}</definedName>
    <definedName name="SAPBEXrevision" hidden="1">0</definedName>
    <definedName name="SAPBEXsysID" hidden="1">"FPW"</definedName>
    <definedName name="SAPBEXwbID" hidden="1">"D31V2H5UUQ4FHZJFV08AFRKPI"</definedName>
    <definedName name="SDFSDFASDFASDF" localSheetId="10" hidden="1">{#N/A,#N/A,FALSE,"95FW"}</definedName>
    <definedName name="SDFSDFASDFASDF" localSheetId="12" hidden="1">{#N/A,#N/A,FALSE,"95FW"}</definedName>
    <definedName name="SDFSDFASDFASDF" localSheetId="7" hidden="1">{#N/A,#N/A,FALSE,"95FW"}</definedName>
    <definedName name="SDFSDFASDFASDF" hidden="1">{#N/A,#N/A,FALSE,"95FW"}</definedName>
    <definedName name="SDFSDFASDFASDF_1" localSheetId="10" hidden="1">{#N/A,#N/A,FALSE,"95FW"}</definedName>
    <definedName name="SDFSDFASDFASDF_1" localSheetId="12" hidden="1">{#N/A,#N/A,FALSE,"95FW"}</definedName>
    <definedName name="SDFSDFASDFASDF_1" localSheetId="7" hidden="1">{#N/A,#N/A,FALSE,"95FW"}</definedName>
    <definedName name="SDFSDFASDFASDF_1" hidden="1">{#N/A,#N/A,FALSE,"95FW"}</definedName>
    <definedName name="sfd" localSheetId="10" hidden="1">{#N/A,#N/A,FALSE,"95FW"}</definedName>
    <definedName name="sfd" localSheetId="12" hidden="1">{#N/A,#N/A,FALSE,"95FW"}</definedName>
    <definedName name="sfd" localSheetId="7" hidden="1">{#N/A,#N/A,FALSE,"95FW"}</definedName>
    <definedName name="sfd" hidden="1">{#N/A,#N/A,FALSE,"95FW"}</definedName>
    <definedName name="sfd_1" localSheetId="10" hidden="1">{#N/A,#N/A,FALSE,"95FW"}</definedName>
    <definedName name="sfd_1" localSheetId="12" hidden="1">{#N/A,#N/A,FALSE,"95FW"}</definedName>
    <definedName name="sfd_1" localSheetId="7" hidden="1">{#N/A,#N/A,FALSE,"95FW"}</definedName>
    <definedName name="sfd_1" hidden="1">{#N/A,#N/A,FALSE,"95FW"}</definedName>
    <definedName name="sheet" localSheetId="10" hidden="1">{#N/A,#N/A,FALSE,"95FW"}</definedName>
    <definedName name="sheet" localSheetId="12" hidden="1">{#N/A,#N/A,FALSE,"95FW"}</definedName>
    <definedName name="sheet" localSheetId="7" hidden="1">{#N/A,#N/A,FALSE,"95FW"}</definedName>
    <definedName name="sheet" hidden="1">{#N/A,#N/A,FALSE,"95FW"}</definedName>
    <definedName name="sheet_1" localSheetId="10" hidden="1">{#N/A,#N/A,FALSE,"95FW"}</definedName>
    <definedName name="sheet_1" localSheetId="12" hidden="1">{#N/A,#N/A,FALSE,"95FW"}</definedName>
    <definedName name="sheet_1" localSheetId="7" hidden="1">{#N/A,#N/A,FALSE,"95FW"}</definedName>
    <definedName name="sheet_1" hidden="1">{#N/A,#N/A,FALSE,"95FW"}</definedName>
    <definedName name="sheet1" localSheetId="10" hidden="1">{#N/A,#N/A,FALSE,"95FW"}</definedName>
    <definedName name="sheet1" localSheetId="12" hidden="1">{#N/A,#N/A,FALSE,"95FW"}</definedName>
    <definedName name="sheet1" localSheetId="7" hidden="1">{#N/A,#N/A,FALSE,"95FW"}</definedName>
    <definedName name="sheet1" hidden="1">{#N/A,#N/A,FALSE,"95FW"}</definedName>
    <definedName name="sheet1_1" localSheetId="10" hidden="1">{#N/A,#N/A,FALSE,"95FW"}</definedName>
    <definedName name="sheet1_1" localSheetId="12" hidden="1">{#N/A,#N/A,FALSE,"95FW"}</definedName>
    <definedName name="sheet1_1" localSheetId="7" hidden="1">{#N/A,#N/A,FALSE,"95FW"}</definedName>
    <definedName name="sheet1_1" hidden="1">{#N/A,#N/A,FALSE,"95FW"}</definedName>
    <definedName name="Winter" localSheetId="10" hidden="1">{#N/A,#N/A,FALSE,"95FW"}</definedName>
    <definedName name="Winter" localSheetId="12" hidden="1">{#N/A,#N/A,FALSE,"95FW"}</definedName>
    <definedName name="Winter" localSheetId="7" hidden="1">{#N/A,#N/A,FALSE,"95FW"}</definedName>
    <definedName name="Winter" hidden="1">{#N/A,#N/A,FALSE,"95FW"}</definedName>
    <definedName name="Winter_1" localSheetId="10" hidden="1">{#N/A,#N/A,FALSE,"95FW"}</definedName>
    <definedName name="Winter_1" localSheetId="12" hidden="1">{#N/A,#N/A,FALSE,"95FW"}</definedName>
    <definedName name="Winter_1" localSheetId="7" hidden="1">{#N/A,#N/A,FALSE,"95FW"}</definedName>
    <definedName name="Winter_1" hidden="1">{#N/A,#N/A,FALSE,"95FW"}</definedName>
    <definedName name="WP" hidden="1">{#N/A,#N/A,FALSE,"95FW"}</definedName>
    <definedName name="wrn.95._.fw._.진행현황." localSheetId="10" hidden="1">{#N/A,#N/A,FALSE,"95FW"}</definedName>
    <definedName name="wrn.95._.fw._.진행현황." localSheetId="12" hidden="1">{#N/A,#N/A,FALSE,"95FW"}</definedName>
    <definedName name="wrn.95._.fw._.진행현황." localSheetId="7" hidden="1">{#N/A,#N/A,FALSE,"95FW"}</definedName>
    <definedName name="wrn.95._.fw._.진행현황." hidden="1">{#N/A,#N/A,FALSE,"95FW"}</definedName>
    <definedName name="wrn.95._.fw._.진행현황._1" localSheetId="10" hidden="1">{#N/A,#N/A,FALSE,"95FW"}</definedName>
    <definedName name="wrn.95._.fw._.진행현황._1" localSheetId="12" hidden="1">{#N/A,#N/A,FALSE,"95FW"}</definedName>
    <definedName name="wrn.95._.fw._.진행현황._1" localSheetId="7" hidden="1">{#N/A,#N/A,FALSE,"95FW"}</definedName>
    <definedName name="wrn.95._.fw._.진행현황._1" hidden="1">{#N/A,#N/A,FALSE,"95FW"}</definedName>
    <definedName name="wrn.전부인쇄." localSheetId="10" hidden="1">{#N/A,#N/A,FALSE,"단축1";#N/A,#N/A,FALSE,"단축2";#N/A,#N/A,FALSE,"단축3";#N/A,#N/A,FALSE,"장축";#N/A,#N/A,FALSE,"4WD"}</definedName>
    <definedName name="wrn.전부인쇄." localSheetId="12" hidden="1">{#N/A,#N/A,FALSE,"단축1";#N/A,#N/A,FALSE,"단축2";#N/A,#N/A,FALSE,"단축3";#N/A,#N/A,FALSE,"장축";#N/A,#N/A,FALSE,"4WD"}</definedName>
    <definedName name="wrn.전부인쇄." localSheetId="7" hidden="1">{#N/A,#N/A,FALSE,"단축1";#N/A,#N/A,FALSE,"단축2";#N/A,#N/A,FALSE,"단축3";#N/A,#N/A,FALSE,"장축";#N/A,#N/A,FALSE,"4WD"}</definedName>
    <definedName name="wrn.전부인쇄." hidden="1">{#N/A,#N/A,FALSE,"단축1";#N/A,#N/A,FALSE,"단축2";#N/A,#N/A,FALSE,"단축3";#N/A,#N/A,FALSE,"장축";#N/A,#N/A,FALSE,"4WD"}</definedName>
    <definedName name="wrn.전부인쇄._1" localSheetId="10" hidden="1">{#N/A,#N/A,FALSE,"단축1";#N/A,#N/A,FALSE,"단축2";#N/A,#N/A,FALSE,"단축3";#N/A,#N/A,FALSE,"장축";#N/A,#N/A,FALSE,"4WD"}</definedName>
    <definedName name="wrn.전부인쇄._1" localSheetId="12" hidden="1">{#N/A,#N/A,FALSE,"단축1";#N/A,#N/A,FALSE,"단축2";#N/A,#N/A,FALSE,"단축3";#N/A,#N/A,FALSE,"장축";#N/A,#N/A,FALSE,"4WD"}</definedName>
    <definedName name="wrn.전부인쇄._1" localSheetId="7" hidden="1">{#N/A,#N/A,FALSE,"단축1";#N/A,#N/A,FALSE,"단축2";#N/A,#N/A,FALSE,"단축3";#N/A,#N/A,FALSE,"장축";#N/A,#N/A,FALSE,"4WD"}</definedName>
    <definedName name="wrn.전부인쇄._1" hidden="1">{#N/A,#N/A,FALSE,"단축1";#N/A,#N/A,FALSE,"단축2";#N/A,#N/A,FALSE,"단축3";#N/A,#N/A,FALSE,"장축";#N/A,#N/A,FALSE,"4WD"}</definedName>
    <definedName name="yyyyyyyyyyyyy" localSheetId="10" hidden="1">{#N/A,#N/A,FALSE,"95FW"}</definedName>
    <definedName name="yyyyyyyyyyyyy" localSheetId="12" hidden="1">{#N/A,#N/A,FALSE,"95FW"}</definedName>
    <definedName name="yyyyyyyyyyyyy" localSheetId="7" hidden="1">{#N/A,#N/A,FALSE,"95FW"}</definedName>
    <definedName name="yyyyyyyyyyyyy" hidden="1">{#N/A,#N/A,FALSE,"95FW"}</definedName>
    <definedName name="yyyyyyyyyyyyy_1" localSheetId="10" hidden="1">{#N/A,#N/A,FALSE,"95FW"}</definedName>
    <definedName name="yyyyyyyyyyyyy_1" localSheetId="12" hidden="1">{#N/A,#N/A,FALSE,"95FW"}</definedName>
    <definedName name="yyyyyyyyyyyyy_1" localSheetId="7" hidden="1">{#N/A,#N/A,FALSE,"95FW"}</definedName>
    <definedName name="yyyyyyyyyyyyy_1" hidden="1">{#N/A,#N/A,FALSE,"95FW"}</definedName>
    <definedName name="yyyyyyyyyyyyyyyyyyyyyyyyyyyyyyyyyyyyyyyyyyyyyyyyyyyyyyyyyyyyyyyyyyyyyyy" localSheetId="10" hidden="1">{#N/A,#N/A,FALSE,"95FW"}</definedName>
    <definedName name="yyyyyyyyyyyyyyyyyyyyyyyyyyyyyyyyyyyyyyyyyyyyyyyyyyyyyyyyyyyyyyyyyyyyyyy" localSheetId="12" hidden="1">{#N/A,#N/A,FALSE,"95FW"}</definedName>
    <definedName name="yyyyyyyyyyyyyyyyyyyyyyyyyyyyyyyyyyyyyyyyyyyyyyyyyyyyyyyyyyyyyyyyyyyyyyy" localSheetId="7" hidden="1">{#N/A,#N/A,FALSE,"95FW"}</definedName>
    <definedName name="yyyyyyyyyyyyyyyyyyyyyyyyyyyyyyyyyyyyyyyyyyyyyyyyyyyyyyyyyyyyyyyyyyyyyyy" hidden="1">{#N/A,#N/A,FALSE,"95FW"}</definedName>
    <definedName name="yyyyyyyyyyyyyyyyyyyyyyyyyyyyyyyyyyyyyyyyyyyyyyyyyyyyyyyyyyyyyyyyyyyyyyy_1" localSheetId="10" hidden="1">{#N/A,#N/A,FALSE,"95FW"}</definedName>
    <definedName name="yyyyyyyyyyyyyyyyyyyyyyyyyyyyyyyyyyyyyyyyyyyyyyyyyyyyyyyyyyyyyyyyyyyyyyy_1" localSheetId="12" hidden="1">{#N/A,#N/A,FALSE,"95FW"}</definedName>
    <definedName name="yyyyyyyyyyyyyyyyyyyyyyyyyyyyyyyyyyyyyyyyyyyyyyyyyyyyyyyyyyyyyyyyyyyyyyy_1" localSheetId="7" hidden="1">{#N/A,#N/A,FALSE,"95FW"}</definedName>
    <definedName name="yyyyyyyyyyyyyyyyyyyyyyyyyyyyyyyyyyyyyyyyyyyyyyyyyyyyyyyyyyyyyyyyyyyyyyy_1" hidden="1">{#N/A,#N/A,FALSE,"95FW"}</definedName>
    <definedName name="yyyyyyyyyyyyyyyyyyyyyyyyyyyyyyyyyyyyyyyyyyyyyyyyyyyyyyyyyyyyyyyyyyyyyyyyyyyyyyyyyyyyyyyyyyyyyyyyyy" localSheetId="10" hidden="1">{#N/A,#N/A,FALSE,"95FW"}</definedName>
    <definedName name="yyyyyyyyyyyyyyyyyyyyyyyyyyyyyyyyyyyyyyyyyyyyyyyyyyyyyyyyyyyyyyyyyyyyyyyyyyyyyyyyyyyyyyyyyyyyyyyyyy" localSheetId="12" hidden="1">{#N/A,#N/A,FALSE,"95FW"}</definedName>
    <definedName name="yyyyyyyyyyyyyyyyyyyyyyyyyyyyyyyyyyyyyyyyyyyyyyyyyyyyyyyyyyyyyyyyyyyyyyyyyyyyyyyyyyyyyyyyyyyyyyyyyy" localSheetId="7" hidden="1">{#N/A,#N/A,FALSE,"95FW"}</definedName>
    <definedName name="yyyyyyyyyyyyyyyyyyyyyyyyyyyyyyyyyyyyyyyyyyyyyyyyyyyyyyyyyyyyyyyyyyyyyyyyyyyyyyyyyyyyyyyyyyyyyyyyyy" hidden="1">{#N/A,#N/A,FALSE,"95FW"}</definedName>
    <definedName name="yyyyyyyyyyyyyyyyyyyyyyyyyyyyyyyyyyyyyyyyyyyyyyyyyyyyyyyyyyyyyyyyyyyyyyyyyyyyyyyyyyyyyyyyyyyyyyyyyy_1" localSheetId="10" hidden="1">{#N/A,#N/A,FALSE,"95FW"}</definedName>
    <definedName name="yyyyyyyyyyyyyyyyyyyyyyyyyyyyyyyyyyyyyyyyyyyyyyyyyyyyyyyyyyyyyyyyyyyyyyyyyyyyyyyyyyyyyyyyyyyyyyyyyy_1" localSheetId="12" hidden="1">{#N/A,#N/A,FALSE,"95FW"}</definedName>
    <definedName name="yyyyyyyyyyyyyyyyyyyyyyyyyyyyyyyyyyyyyyyyyyyyyyyyyyyyyyyyyyyyyyyyyyyyyyyyyyyyyyyyyyyyyyyyyyyyyyyyyy_1" localSheetId="7" hidden="1">{#N/A,#N/A,FALSE,"95FW"}</definedName>
    <definedName name="yyyyyyyyyyyyyyyyyyyyyyyyyyyyyyyyyyyyyyyyyyyyyyyyyyyyyyyyyyyyyyyyyyyyyyyyyyyyyyyyyyyyyyyyyyyyyyyyyy_1" hidden="1">{#N/A,#N/A,FALSE,"95FW"}</definedName>
    <definedName name="Z_CFFA0BE5_FA14_40B1_B37C_F4B59F7E7FDC_.wvu.Cols" hidden="1">#REF!</definedName>
    <definedName name="Z_CFFA0BE5_FA14_40B1_B37C_F4B59F7E7FDC_.wvu.FilterData" hidden="1">#REF!</definedName>
    <definedName name="Z_CFFA0BE5_FA14_40B1_B37C_F4B59F7E7FDC_.wvu.PrintArea" hidden="1">#REF!</definedName>
    <definedName name="Z_CFFA0BE5_FA14_40B1_B37C_F4B59F7E7FDC_.wvu.PrintTitles" hidden="1">#REF!</definedName>
    <definedName name="Z_CFFA0BE5_FA14_40B1_B37C_F4B59F7E7FDC_.wvu.Rows" hidden="1">#REF!</definedName>
    <definedName name="ZZZ" hidden="1">#REF!</definedName>
    <definedName name="ｴｴｴ" hidden="1">#REF!</definedName>
    <definedName name="タスクドキュメント１" hidden="1">#REF!</definedName>
    <definedName name="가을" localSheetId="10" hidden="1">{#N/A,#N/A,FALSE,"95FW"}</definedName>
    <definedName name="가을" localSheetId="12" hidden="1">{#N/A,#N/A,FALSE,"95FW"}</definedName>
    <definedName name="가을" localSheetId="7" hidden="1">{#N/A,#N/A,FALSE,"95FW"}</definedName>
    <definedName name="가을" hidden="1">{#N/A,#N/A,FALSE,"95FW"}</definedName>
    <definedName name="가을_1" localSheetId="10" hidden="1">{#N/A,#N/A,FALSE,"95FW"}</definedName>
    <definedName name="가을_1" localSheetId="12" hidden="1">{#N/A,#N/A,FALSE,"95FW"}</definedName>
    <definedName name="가을_1" localSheetId="7" hidden="1">{#N/A,#N/A,FALSE,"95FW"}</definedName>
    <definedName name="가을_1" hidden="1">{#N/A,#N/A,FALSE,"95FW"}</definedName>
    <definedName name="関連表" hidden="1">#REF!</definedName>
    <definedName name="김상희김상희" localSheetId="10" hidden="1">{#N/A,#N/A,FALSE,"95FW"}</definedName>
    <definedName name="김상희김상희" localSheetId="12" hidden="1">{#N/A,#N/A,FALSE,"95FW"}</definedName>
    <definedName name="김상희김상희" localSheetId="7" hidden="1">{#N/A,#N/A,FALSE,"95FW"}</definedName>
    <definedName name="김상희김상희" hidden="1">{#N/A,#N/A,FALSE,"95FW"}</definedName>
    <definedName name="김상희라인업" localSheetId="10" hidden="1">{#N/A,#N/A,FALSE,"95FW"}</definedName>
    <definedName name="김상희라인업" localSheetId="12" hidden="1">{#N/A,#N/A,FALSE,"95FW"}</definedName>
    <definedName name="김상희라인업" localSheetId="7" hidden="1">{#N/A,#N/A,FALSE,"95FW"}</definedName>
    <definedName name="김상희라인업" hidden="1">{#N/A,#N/A,FALSE,"95FW"}</definedName>
    <definedName name="ㄹ" localSheetId="10" hidden="1">{#N/A,#N/A,FALSE,"95FW"}</definedName>
    <definedName name="ㄹ" localSheetId="12" hidden="1">{#N/A,#N/A,FALSE,"95FW"}</definedName>
    <definedName name="ㄹ" localSheetId="7" hidden="1">{#N/A,#N/A,FALSE,"95FW"}</definedName>
    <definedName name="ㄹ" hidden="1">{#N/A,#N/A,FALSE,"95FW"}</definedName>
    <definedName name="ㅁㄴㅁㄴㅁ" localSheetId="10" hidden="1">{#N/A,#N/A,FALSE,"95FW"}</definedName>
    <definedName name="ㅁㄴㅁㄴㅁ" localSheetId="12" hidden="1">{#N/A,#N/A,FALSE,"95FW"}</definedName>
    <definedName name="ㅁㄴㅁㄴㅁ" localSheetId="7" hidden="1">{#N/A,#N/A,FALSE,"95FW"}</definedName>
    <definedName name="ㅁㄴㅁㄴㅁ" hidden="1">{#N/A,#N/A,FALSE,"95FW"}</definedName>
    <definedName name="ㅁㄴㅁㄴㅁ_1" localSheetId="10" hidden="1">{#N/A,#N/A,FALSE,"95FW"}</definedName>
    <definedName name="ㅁㄴㅁㄴㅁ_1" localSheetId="12" hidden="1">{#N/A,#N/A,FALSE,"95FW"}</definedName>
    <definedName name="ㅁㄴㅁㄴㅁ_1" localSheetId="7" hidden="1">{#N/A,#N/A,FALSE,"95FW"}</definedName>
    <definedName name="ㅁㄴㅁㄴㅁ_1" hidden="1">{#N/A,#N/A,FALSE,"95FW"}</definedName>
    <definedName name="ㅁㅇㅁㅇㅁㄴㅇㅁㄴㅇㅁㄴ" localSheetId="10" hidden="1">{#N/A,#N/A,FALSE,"95FW"}</definedName>
    <definedName name="ㅁㅇㅁㅇㅁㄴㅇㅁㄴㅇㅁㄴ" localSheetId="12" hidden="1">{#N/A,#N/A,FALSE,"95FW"}</definedName>
    <definedName name="ㅁㅇㅁㅇㅁㄴㅇㅁㄴㅇㅁㄴ" localSheetId="7" hidden="1">{#N/A,#N/A,FALSE,"95FW"}</definedName>
    <definedName name="ㅁㅇㅁㅇㅁㄴㅇㅁㄴㅇㅁㄴ" hidden="1">{#N/A,#N/A,FALSE,"95FW"}</definedName>
    <definedName name="ㅁㅇㅁㅇㅁㄴㅇㅁㄴㅇㅁㄴ_1" localSheetId="10" hidden="1">{#N/A,#N/A,FALSE,"95FW"}</definedName>
    <definedName name="ㅁㅇㅁㅇㅁㄴㅇㅁㄴㅇㅁㄴ_1" localSheetId="12" hidden="1">{#N/A,#N/A,FALSE,"95FW"}</definedName>
    <definedName name="ㅁㅇㅁㅇㅁㄴㅇㅁㄴㅇㅁㄴ_1" localSheetId="7" hidden="1">{#N/A,#N/A,FALSE,"95FW"}</definedName>
    <definedName name="ㅁㅇㅁㅇㅁㄴㅇㅁㄴㅇㅁㄴ_1" hidden="1">{#N/A,#N/A,FALSE,"95FW"}</definedName>
    <definedName name="모냐" localSheetId="10" hidden="1">{#N/A,#N/A,FALSE,"95FW"}</definedName>
    <definedName name="모냐" localSheetId="12" hidden="1">{#N/A,#N/A,FALSE,"95FW"}</definedName>
    <definedName name="모냐" localSheetId="7" hidden="1">{#N/A,#N/A,FALSE,"95FW"}</definedName>
    <definedName name="모냐" hidden="1">{#N/A,#N/A,FALSE,"95FW"}</definedName>
    <definedName name="모냐_1" localSheetId="10" hidden="1">{#N/A,#N/A,FALSE,"95FW"}</definedName>
    <definedName name="모냐_1" localSheetId="12" hidden="1">{#N/A,#N/A,FALSE,"95FW"}</definedName>
    <definedName name="모냐_1" localSheetId="7" hidden="1">{#N/A,#N/A,FALSE,"95FW"}</definedName>
    <definedName name="모냐_1" hidden="1">{#N/A,#N/A,FALSE,"95FW"}</definedName>
    <definedName name="물량계획" localSheetId="10" hidden="1">{#N/A,#N/A,FALSE,"95FW"}</definedName>
    <definedName name="물량계획" localSheetId="12" hidden="1">{#N/A,#N/A,FALSE,"95FW"}</definedName>
    <definedName name="물량계획" localSheetId="7" hidden="1">{#N/A,#N/A,FALSE,"95FW"}</definedName>
    <definedName name="물량계획" hidden="1">{#N/A,#N/A,FALSE,"95FW"}</definedName>
    <definedName name="물량계획_1" localSheetId="10" hidden="1">{#N/A,#N/A,FALSE,"95FW"}</definedName>
    <definedName name="물량계획_1" localSheetId="12" hidden="1">{#N/A,#N/A,FALSE,"95FW"}</definedName>
    <definedName name="물량계획_1" localSheetId="7" hidden="1">{#N/A,#N/A,FALSE,"95FW"}</definedName>
    <definedName name="물량계획_1" hidden="1">{#N/A,#N/A,FALSE,"95FW"}</definedName>
    <definedName name="뭐야.." localSheetId="10" hidden="1">{#N/A,#N/A,FALSE,"95FW"}</definedName>
    <definedName name="뭐야.." localSheetId="12" hidden="1">{#N/A,#N/A,FALSE,"95FW"}</definedName>
    <definedName name="뭐야.." localSheetId="7" hidden="1">{#N/A,#N/A,FALSE,"95FW"}</definedName>
    <definedName name="뭐야.." hidden="1">{#N/A,#N/A,FALSE,"95FW"}</definedName>
    <definedName name="뭐야.._1" localSheetId="10" hidden="1">{#N/A,#N/A,FALSE,"95FW"}</definedName>
    <definedName name="뭐야.._1" localSheetId="12" hidden="1">{#N/A,#N/A,FALSE,"95FW"}</definedName>
    <definedName name="뭐야.._1" localSheetId="7" hidden="1">{#N/A,#N/A,FALSE,"95FW"}</definedName>
    <definedName name="뭐야.._1" hidden="1">{#N/A,#N/A,FALSE,"95FW"}</definedName>
    <definedName name="뭐지" localSheetId="10" hidden="1">{#N/A,#N/A,FALSE,"95FW"}</definedName>
    <definedName name="뭐지" localSheetId="12" hidden="1">{#N/A,#N/A,FALSE,"95FW"}</definedName>
    <definedName name="뭐지" localSheetId="7" hidden="1">{#N/A,#N/A,FALSE,"95FW"}</definedName>
    <definedName name="뭐지" hidden="1">{#N/A,#N/A,FALSE,"95FW"}</definedName>
    <definedName name="뭐지_1" localSheetId="10" hidden="1">{#N/A,#N/A,FALSE,"95FW"}</definedName>
    <definedName name="뭐지_1" localSheetId="12" hidden="1">{#N/A,#N/A,FALSE,"95FW"}</definedName>
    <definedName name="뭐지_1" localSheetId="7" hidden="1">{#N/A,#N/A,FALSE,"95FW"}</definedName>
    <definedName name="뭐지_1" hidden="1">{#N/A,#N/A,FALSE,"95FW"}</definedName>
    <definedName name="ㅂ" localSheetId="10" hidden="1">{#N/A,#N/A,FALSE,"95FW"}</definedName>
    <definedName name="ㅂ" localSheetId="12" hidden="1">{#N/A,#N/A,FALSE,"95FW"}</definedName>
    <definedName name="ㅂ" localSheetId="7" hidden="1">{#N/A,#N/A,FALSE,"95FW"}</definedName>
    <definedName name="ㅂ" hidden="1">{#N/A,#N/A,FALSE,"95FW"}</definedName>
    <definedName name="ㅂ_1" localSheetId="10" hidden="1">{#N/A,#N/A,FALSE,"95FW"}</definedName>
    <definedName name="ㅂ_1" localSheetId="12" hidden="1">{#N/A,#N/A,FALSE,"95FW"}</definedName>
    <definedName name="ㅂ_1" localSheetId="7" hidden="1">{#N/A,#N/A,FALSE,"95FW"}</definedName>
    <definedName name="ㅂ_1" hidden="1">{#N/A,#N/A,FALSE,"95FW"}</definedName>
    <definedName name="ㅂ1" localSheetId="10" hidden="1">{#N/A,#N/A,FALSE,"95FW"}</definedName>
    <definedName name="ㅂ1" localSheetId="12" hidden="1">{#N/A,#N/A,FALSE,"95FW"}</definedName>
    <definedName name="ㅂ1" localSheetId="7" hidden="1">{#N/A,#N/A,FALSE,"95FW"}</definedName>
    <definedName name="ㅂ1" hidden="1">{#N/A,#N/A,FALSE,"95FW"}</definedName>
    <definedName name="ㅂ1_1" localSheetId="10" hidden="1">{#N/A,#N/A,FALSE,"95FW"}</definedName>
    <definedName name="ㅂ1_1" localSheetId="12" hidden="1">{#N/A,#N/A,FALSE,"95FW"}</definedName>
    <definedName name="ㅂ1_1" localSheetId="7" hidden="1">{#N/A,#N/A,FALSE,"95FW"}</definedName>
    <definedName name="ㅂ1_1" hidden="1">{#N/A,#N/A,FALSE,"95FW"}</definedName>
    <definedName name="봄" localSheetId="10" hidden="1">{#N/A,#N/A,FALSE,"95FW"}</definedName>
    <definedName name="봄" localSheetId="12" hidden="1">{#N/A,#N/A,FALSE,"95FW"}</definedName>
    <definedName name="봄" localSheetId="7" hidden="1">{#N/A,#N/A,FALSE,"95FW"}</definedName>
    <definedName name="봄" hidden="1">{#N/A,#N/A,FALSE,"95FW"}</definedName>
    <definedName name="봄_1" localSheetId="10" hidden="1">{#N/A,#N/A,FALSE,"95FW"}</definedName>
    <definedName name="봄_1" localSheetId="12" hidden="1">{#N/A,#N/A,FALSE,"95FW"}</definedName>
    <definedName name="봄_1" localSheetId="7" hidden="1">{#N/A,#N/A,FALSE,"95FW"}</definedName>
    <definedName name="봄_1" hidden="1">{#N/A,#N/A,FALSE,"95FW"}</definedName>
    <definedName name="사업" localSheetId="10" hidden="1">{#N/A,#N/A,FALSE,"95FW"}</definedName>
    <definedName name="사업" localSheetId="12" hidden="1">{#N/A,#N/A,FALSE,"95FW"}</definedName>
    <definedName name="사업" localSheetId="7" hidden="1">{#N/A,#N/A,FALSE,"95FW"}</definedName>
    <definedName name="사업" hidden="1">{#N/A,#N/A,FALSE,"95FW"}</definedName>
    <definedName name="사업_1" localSheetId="10" hidden="1">{#N/A,#N/A,FALSE,"95FW"}</definedName>
    <definedName name="사업_1" localSheetId="12" hidden="1">{#N/A,#N/A,FALSE,"95FW"}</definedName>
    <definedName name="사업_1" localSheetId="7" hidden="1">{#N/A,#N/A,FALSE,"95FW"}</definedName>
    <definedName name="사업_1" hidden="1">{#N/A,#N/A,FALSE,"95FW"}</definedName>
    <definedName name="상설월별시트2" localSheetId="10" hidden="1">{#N/A,#N/A,FALSE,"95FW"}</definedName>
    <definedName name="상설월별시트2" localSheetId="12" hidden="1">{#N/A,#N/A,FALSE,"95FW"}</definedName>
    <definedName name="상설월별시트2" localSheetId="7" hidden="1">{#N/A,#N/A,FALSE,"95FW"}</definedName>
    <definedName name="상설월별시트2" hidden="1">{#N/A,#N/A,FALSE,"95FW"}</definedName>
    <definedName name="상설월별시트2_1" localSheetId="10" hidden="1">{#N/A,#N/A,FALSE,"95FW"}</definedName>
    <definedName name="상설월별시트2_1" localSheetId="12" hidden="1">{#N/A,#N/A,FALSE,"95FW"}</definedName>
    <definedName name="상설월별시트2_1" localSheetId="7" hidden="1">{#N/A,#N/A,FALSE,"95FW"}</definedName>
    <definedName name="상설월별시트2_1" hidden="1">{#N/A,#N/A,FALSE,"95FW"}</definedName>
    <definedName name="수수" localSheetId="10" hidden="1">{#N/A,#N/A,FALSE,"95FW"}</definedName>
    <definedName name="수수" localSheetId="12" hidden="1">{#N/A,#N/A,FALSE,"95FW"}</definedName>
    <definedName name="수수" localSheetId="7" hidden="1">{#N/A,#N/A,FALSE,"95FW"}</definedName>
    <definedName name="수수" hidden="1">{#N/A,#N/A,FALSE,"95FW"}</definedName>
    <definedName name="수수_1" localSheetId="10" hidden="1">{#N/A,#N/A,FALSE,"95FW"}</definedName>
    <definedName name="수수_1" localSheetId="12" hidden="1">{#N/A,#N/A,FALSE,"95FW"}</definedName>
    <definedName name="수수_1" localSheetId="7" hidden="1">{#N/A,#N/A,FALSE,"95FW"}</definedName>
    <definedName name="수수_1" hidden="1">{#N/A,#N/A,FALSE,"95FW"}</definedName>
    <definedName name="수수료정산" localSheetId="10" hidden="1">{#N/A,#N/A,FALSE,"95FW"}</definedName>
    <definedName name="수수료정산" localSheetId="12" hidden="1">{#N/A,#N/A,FALSE,"95FW"}</definedName>
    <definedName name="수수료정산" localSheetId="7" hidden="1">{#N/A,#N/A,FALSE,"95FW"}</definedName>
    <definedName name="수수료정산" hidden="1">{#N/A,#N/A,FALSE,"95FW"}</definedName>
    <definedName name="수수료정산_1" localSheetId="10" hidden="1">{#N/A,#N/A,FALSE,"95FW"}</definedName>
    <definedName name="수수료정산_1" localSheetId="12" hidden="1">{#N/A,#N/A,FALSE,"95FW"}</definedName>
    <definedName name="수수료정산_1" localSheetId="7" hidden="1">{#N/A,#N/A,FALSE,"95FW"}</definedName>
    <definedName name="수수료정산_1" hidden="1">{#N/A,#N/A,FALSE,"95FW"}</definedName>
    <definedName name="용품" localSheetId="10" hidden="1">{#N/A,#N/A,FALSE,"95FW"}</definedName>
    <definedName name="용품" localSheetId="12" hidden="1">{#N/A,#N/A,FALSE,"95FW"}</definedName>
    <definedName name="용품" localSheetId="7" hidden="1">{#N/A,#N/A,FALSE,"95FW"}</definedName>
    <definedName name="용품" hidden="1">{#N/A,#N/A,FALSE,"95FW"}</definedName>
    <definedName name="용품_1" localSheetId="10" hidden="1">{#N/A,#N/A,FALSE,"95FW"}</definedName>
    <definedName name="용품_1" localSheetId="12" hidden="1">{#N/A,#N/A,FALSE,"95FW"}</definedName>
    <definedName name="용품_1" localSheetId="7" hidden="1">{#N/A,#N/A,FALSE,"95FW"}</definedName>
    <definedName name="용품_1" hidden="1">{#N/A,#N/A,FALSE,"95FW"}</definedName>
    <definedName name="용품스케쥴" localSheetId="10" hidden="1">{#N/A,#N/A,FALSE,"95FW"}</definedName>
    <definedName name="용품스케쥴" localSheetId="12" hidden="1">{#N/A,#N/A,FALSE,"95FW"}</definedName>
    <definedName name="용품스케쥴" localSheetId="7" hidden="1">{#N/A,#N/A,FALSE,"95FW"}</definedName>
    <definedName name="용품스케쥴" hidden="1">{#N/A,#N/A,FALSE,"95FW"}</definedName>
    <definedName name="용품스케쥴_1" localSheetId="10" hidden="1">{#N/A,#N/A,FALSE,"95FW"}</definedName>
    <definedName name="용품스케쥴_1" localSheetId="12" hidden="1">{#N/A,#N/A,FALSE,"95FW"}</definedName>
    <definedName name="용품스케쥴_1" localSheetId="7" hidden="1">{#N/A,#N/A,FALSE,"95FW"}</definedName>
    <definedName name="용품스케쥴_1" hidden="1">{#N/A,#N/A,FALSE,"95FW"}</definedName>
    <definedName name="월별출고계획" localSheetId="10" hidden="1">{#N/A,#N/A,FALSE,"95FW"}</definedName>
    <definedName name="월별출고계획" localSheetId="12" hidden="1">{#N/A,#N/A,FALSE,"95FW"}</definedName>
    <definedName name="월별출고계획" localSheetId="7" hidden="1">{#N/A,#N/A,FALSE,"95FW"}</definedName>
    <definedName name="월별출고계획" hidden="1">{#N/A,#N/A,FALSE,"95FW"}</definedName>
    <definedName name="월별출고계획_1" localSheetId="10" hidden="1">{#N/A,#N/A,FALSE,"95FW"}</definedName>
    <definedName name="월별출고계획_1" localSheetId="12" hidden="1">{#N/A,#N/A,FALSE,"95FW"}</definedName>
    <definedName name="월별출고계획_1" localSheetId="7" hidden="1">{#N/A,#N/A,FALSE,"95FW"}</definedName>
    <definedName name="월별출고계획_1" hidden="1">{#N/A,#N/A,FALSE,"95FW"}</definedName>
    <definedName name="의류" localSheetId="10" hidden="1">{#N/A,#N/A,FALSE,"95FW"}</definedName>
    <definedName name="의류" localSheetId="12" hidden="1">{#N/A,#N/A,FALSE,"95FW"}</definedName>
    <definedName name="의류" localSheetId="7" hidden="1">{#N/A,#N/A,FALSE,"95FW"}</definedName>
    <definedName name="의류" hidden="1">{#N/A,#N/A,FALSE,"95FW"}</definedName>
    <definedName name="의류_1" localSheetId="10" hidden="1">{#N/A,#N/A,FALSE,"95FW"}</definedName>
    <definedName name="의류_1" localSheetId="12" hidden="1">{#N/A,#N/A,FALSE,"95FW"}</definedName>
    <definedName name="의류_1" localSheetId="7" hidden="1">{#N/A,#N/A,FALSE,"95FW"}</definedName>
    <definedName name="의류_1" hidden="1">{#N/A,#N/A,FALSE,"95FW"}</definedName>
    <definedName name="이름모야" localSheetId="10" hidden="1">{#N/A,#N/A,FALSE,"95FW"}</definedName>
    <definedName name="이름모야" localSheetId="12" hidden="1">{#N/A,#N/A,FALSE,"95FW"}</definedName>
    <definedName name="이름모야" localSheetId="7" hidden="1">{#N/A,#N/A,FALSE,"95FW"}</definedName>
    <definedName name="이름모야" hidden="1">{#N/A,#N/A,FALSE,"95FW"}</definedName>
    <definedName name="이름모야_1" localSheetId="10" hidden="1">{#N/A,#N/A,FALSE,"95FW"}</definedName>
    <definedName name="이름모야_1" localSheetId="12" hidden="1">{#N/A,#N/A,FALSE,"95FW"}</definedName>
    <definedName name="이름모야_1" localSheetId="7" hidden="1">{#N/A,#N/A,FALSE,"95FW"}</definedName>
    <definedName name="이름모야_1" hidden="1">{#N/A,#N/A,FALSE,"95FW"}</definedName>
    <definedName name="자료" localSheetId="10" hidden="1">{#N/A,#N/A,FALSE,"95FW"}</definedName>
    <definedName name="자료" localSheetId="12" hidden="1">{#N/A,#N/A,FALSE,"95FW"}</definedName>
    <definedName name="자료" localSheetId="7" hidden="1">{#N/A,#N/A,FALSE,"95FW"}</definedName>
    <definedName name="자료" hidden="1">{#N/A,#N/A,FALSE,"95FW"}</definedName>
    <definedName name="자료_1" localSheetId="10" hidden="1">{#N/A,#N/A,FALSE,"95FW"}</definedName>
    <definedName name="자료_1" localSheetId="12" hidden="1">{#N/A,#N/A,FALSE,"95FW"}</definedName>
    <definedName name="자료_1" localSheetId="7" hidden="1">{#N/A,#N/A,FALSE,"95FW"}</definedName>
    <definedName name="자료_1" hidden="1">{#N/A,#N/A,FALSE,"95FW"}</definedName>
    <definedName name="자료정리" hidden="1">#REF!</definedName>
    <definedName name="진행보고" localSheetId="10" hidden="1">{#N/A,#N/A,FALSE,"95FW"}</definedName>
    <definedName name="진행보고" localSheetId="12" hidden="1">{#N/A,#N/A,FALSE,"95FW"}</definedName>
    <definedName name="진행보고" localSheetId="7" hidden="1">{#N/A,#N/A,FALSE,"95FW"}</definedName>
    <definedName name="진행보고" hidden="1">{#N/A,#N/A,FALSE,"95FW"}</definedName>
    <definedName name="진행보고_1" localSheetId="10" hidden="1">{#N/A,#N/A,FALSE,"95FW"}</definedName>
    <definedName name="진행보고_1" localSheetId="12" hidden="1">{#N/A,#N/A,FALSE,"95FW"}</definedName>
    <definedName name="진행보고_1" localSheetId="7" hidden="1">{#N/A,#N/A,FALSE,"95FW"}</definedName>
    <definedName name="진행보고_1" hidden="1">{#N/A,#N/A,FALSE,"95FW"}</definedName>
    <definedName name="쨔" localSheetId="10" hidden="1">{#N/A,#N/A,FALSE,"95FW"}</definedName>
    <definedName name="쨔" localSheetId="12" hidden="1">{#N/A,#N/A,FALSE,"95FW"}</definedName>
    <definedName name="쨔" localSheetId="7" hidden="1">{#N/A,#N/A,FALSE,"95FW"}</definedName>
    <definedName name="쨔" hidden="1">{#N/A,#N/A,FALSE,"95FW"}</definedName>
    <definedName name="쨔_1" localSheetId="10" hidden="1">{#N/A,#N/A,FALSE,"95FW"}</definedName>
    <definedName name="쨔_1" localSheetId="12" hidden="1">{#N/A,#N/A,FALSE,"95FW"}</definedName>
    <definedName name="쨔_1" localSheetId="7" hidden="1">{#N/A,#N/A,FALSE,"95FW"}</definedName>
    <definedName name="쨔_1" hidden="1">{#N/A,#N/A,FALSE,"95FW"}</definedName>
    <definedName name="평균값" localSheetId="10" hidden="1">{#N/A,#N/A,FALSE,"95FW"}</definedName>
    <definedName name="평균값" localSheetId="12" hidden="1">{#N/A,#N/A,FALSE,"95FW"}</definedName>
    <definedName name="평균값" localSheetId="7" hidden="1">{#N/A,#N/A,FALSE,"95FW"}</definedName>
    <definedName name="평균값" hidden="1">{#N/A,#N/A,FALSE,"95FW"}</definedName>
    <definedName name="평균값_1" localSheetId="10" hidden="1">{#N/A,#N/A,FALSE,"95FW"}</definedName>
    <definedName name="평균값_1" localSheetId="12" hidden="1">{#N/A,#N/A,FALSE,"95FW"}</definedName>
    <definedName name="평균값_1" localSheetId="7" hidden="1">{#N/A,#N/A,FALSE,"95FW"}</definedName>
    <definedName name="평균값_1" hidden="1">{#N/A,#N/A,FALSE,"95FW"}</definedName>
    <definedName name="표지" localSheetId="10" hidden="1">{#N/A,#N/A,FALSE,"95FW"}</definedName>
    <definedName name="표지" localSheetId="12" hidden="1">{#N/A,#N/A,FALSE,"95FW"}</definedName>
    <definedName name="표지" localSheetId="7" hidden="1">{#N/A,#N/A,FALSE,"95FW"}</definedName>
    <definedName name="표지" hidden="1">{#N/A,#N/A,FALSE,"95FW"}</definedName>
    <definedName name="표지_1" localSheetId="10" hidden="1">{#N/A,#N/A,FALSE,"95FW"}</definedName>
    <definedName name="표지_1" localSheetId="12" hidden="1">{#N/A,#N/A,FALSE,"95FW"}</definedName>
    <definedName name="표지_1" localSheetId="7" hidden="1">{#N/A,#N/A,FALSE,"95FW"}</definedName>
    <definedName name="표지_1" hidden="1">{#N/A,#N/A,FALSE,"95FW"}</definedName>
    <definedName name="ㅎㅇㅁ" localSheetId="10" hidden="1">{#N/A,#N/A,FALSE,"95FW"}</definedName>
    <definedName name="ㅎㅇㅁ" localSheetId="12" hidden="1">{#N/A,#N/A,FALSE,"95FW"}</definedName>
    <definedName name="ㅎㅇㅁ" localSheetId="7" hidden="1">{#N/A,#N/A,FALSE,"95FW"}</definedName>
    <definedName name="ㅎㅇㅁ" hidden="1">{#N/A,#N/A,FALSE,"95FW"}</definedName>
    <definedName name="ㅎㅇㅁ_1" localSheetId="10" hidden="1">{#N/A,#N/A,FALSE,"95FW"}</definedName>
    <definedName name="ㅎㅇㅁ_1" localSheetId="12" hidden="1">{#N/A,#N/A,FALSE,"95FW"}</definedName>
    <definedName name="ㅎㅇㅁ_1" localSheetId="7" hidden="1">{#N/A,#N/A,FALSE,"95FW"}</definedName>
    <definedName name="ㅎㅇㅁ_1" hidden="1">{#N/A,#N/A,FALSE,"95FW"}</definedName>
    <definedName name="ㅔㅔㅔ" localSheetId="10" hidden="1">{#N/A,#N/A,FALSE,"95FW"}</definedName>
    <definedName name="ㅔㅔㅔ" localSheetId="12" hidden="1">{#N/A,#N/A,FALSE,"95FW"}</definedName>
    <definedName name="ㅔㅔㅔ" localSheetId="7" hidden="1">{#N/A,#N/A,FALSE,"95FW"}</definedName>
    <definedName name="ㅔㅔㅔ" hidden="1">{#N/A,#N/A,FALSE,"95FW"}</definedName>
    <definedName name="ㅔㅔㅔ_1" localSheetId="10" hidden="1">{#N/A,#N/A,FALSE,"95FW"}</definedName>
    <definedName name="ㅔㅔㅔ_1" localSheetId="12" hidden="1">{#N/A,#N/A,FALSE,"95FW"}</definedName>
    <definedName name="ㅔㅔㅔ_1" localSheetId="7" hidden="1">{#N/A,#N/A,FALSE,"95FW"}</definedName>
    <definedName name="ㅔㅔㅔ_1" hidden="1">{#N/A,#N/A,FALSE,"95FW"}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T32" i="12" l="1"/>
  <c r="X32" i="12" s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3" i="1"/>
  <c r="V4" i="1"/>
  <c r="V5" i="1"/>
  <c r="V7" i="1"/>
  <c r="V8" i="1"/>
  <c r="V9" i="1"/>
  <c r="V10" i="1"/>
  <c r="V11" i="1"/>
  <c r="V13" i="1"/>
  <c r="V14" i="1"/>
  <c r="V15" i="1"/>
  <c r="X3" i="9"/>
  <c r="X4" i="9"/>
  <c r="X5" i="9"/>
  <c r="X6" i="9"/>
  <c r="X7" i="9"/>
  <c r="X8" i="9"/>
  <c r="X9" i="9"/>
  <c r="X10" i="9"/>
  <c r="X11" i="9"/>
  <c r="X12" i="9"/>
  <c r="X13" i="9"/>
  <c r="X14" i="9"/>
  <c r="X15" i="9"/>
  <c r="X16" i="9"/>
  <c r="X17" i="9"/>
  <c r="X18" i="9"/>
  <c r="X19" i="9"/>
  <c r="X20" i="9"/>
  <c r="X21" i="9"/>
  <c r="X22" i="9"/>
  <c r="X23" i="9"/>
  <c r="X24" i="9"/>
  <c r="X25" i="9"/>
  <c r="X26" i="9"/>
  <c r="X27" i="9"/>
  <c r="X28" i="9"/>
  <c r="X29" i="9"/>
  <c r="X30" i="9"/>
  <c r="X31" i="9"/>
  <c r="X32" i="9"/>
  <c r="X33" i="9"/>
  <c r="X34" i="9"/>
  <c r="X35" i="9"/>
  <c r="X36" i="9"/>
  <c r="X37" i="9"/>
  <c r="X38" i="9"/>
  <c r="X39" i="9"/>
  <c r="X40" i="9"/>
  <c r="X41" i="9"/>
  <c r="X42" i="9"/>
  <c r="X43" i="9"/>
  <c r="X44" i="9"/>
  <c r="X45" i="9"/>
  <c r="X46" i="9"/>
  <c r="X47" i="9"/>
  <c r="X48" i="9"/>
  <c r="X51" i="9"/>
  <c r="X52" i="9"/>
  <c r="X53" i="9"/>
  <c r="X54" i="9"/>
  <c r="X55" i="9"/>
  <c r="X56" i="9"/>
  <c r="X57" i="9"/>
  <c r="X58" i="9"/>
  <c r="X59" i="9"/>
  <c r="X60" i="9"/>
  <c r="X61" i="9"/>
  <c r="X62" i="9"/>
  <c r="X63" i="9"/>
  <c r="X64" i="9"/>
  <c r="X65" i="9"/>
  <c r="X66" i="9"/>
  <c r="X67" i="9"/>
  <c r="X68" i="9"/>
  <c r="X69" i="9"/>
  <c r="X70" i="9"/>
  <c r="X71" i="9"/>
  <c r="X72" i="9"/>
  <c r="X73" i="9"/>
  <c r="X74" i="9"/>
  <c r="X75" i="9"/>
  <c r="X76" i="9"/>
  <c r="X77" i="9"/>
  <c r="X78" i="9"/>
  <c r="X79" i="9"/>
  <c r="X80" i="9"/>
  <c r="X81" i="9"/>
  <c r="X82" i="9"/>
  <c r="X83" i="9"/>
  <c r="X84" i="9"/>
  <c r="X2" i="9"/>
  <c r="U3" i="10"/>
  <c r="V3" i="10"/>
  <c r="T48" i="9"/>
  <c r="O22" i="12"/>
  <c r="O3" i="12"/>
  <c r="O4" i="12"/>
  <c r="O5" i="12"/>
  <c r="O6" i="12"/>
  <c r="O7" i="12"/>
  <c r="O8" i="12"/>
  <c r="O9" i="12"/>
  <c r="O10" i="12"/>
  <c r="O11" i="12"/>
  <c r="O12" i="12"/>
  <c r="O13" i="12"/>
  <c r="O14" i="12"/>
  <c r="O15" i="12"/>
  <c r="O16" i="12"/>
  <c r="O17" i="12"/>
  <c r="O18" i="12"/>
  <c r="O19" i="12"/>
  <c r="O20" i="12"/>
  <c r="O21" i="12"/>
  <c r="O23" i="12"/>
  <c r="O24" i="12"/>
  <c r="O25" i="12"/>
  <c r="O26" i="12"/>
  <c r="T26" i="12" s="1"/>
  <c r="X26" i="12" s="1"/>
  <c r="O27" i="12"/>
  <c r="O28" i="12"/>
  <c r="O29" i="12"/>
  <c r="O30" i="12"/>
  <c r="O31" i="12"/>
  <c r="O32" i="12"/>
  <c r="O33" i="12"/>
  <c r="O2" i="12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2" i="1"/>
  <c r="O3" i="9"/>
  <c r="O4" i="9"/>
  <c r="O5" i="9"/>
  <c r="O6" i="9"/>
  <c r="O7" i="9"/>
  <c r="O8" i="9"/>
  <c r="O9" i="9"/>
  <c r="O10" i="9"/>
  <c r="O11" i="9"/>
  <c r="O12" i="9"/>
  <c r="O13" i="9"/>
  <c r="O14" i="9"/>
  <c r="O15" i="9"/>
  <c r="O16" i="9"/>
  <c r="O17" i="9"/>
  <c r="O18" i="9"/>
  <c r="O19" i="9"/>
  <c r="O20" i="9"/>
  <c r="O21" i="9"/>
  <c r="O22" i="9"/>
  <c r="O23" i="9"/>
  <c r="O24" i="9"/>
  <c r="O25" i="9"/>
  <c r="O26" i="9"/>
  <c r="O27" i="9"/>
  <c r="O28" i="9"/>
  <c r="O29" i="9"/>
  <c r="O30" i="9"/>
  <c r="O31" i="9"/>
  <c r="O32" i="9"/>
  <c r="O33" i="9"/>
  <c r="O34" i="9"/>
  <c r="O35" i="9"/>
  <c r="O36" i="9"/>
  <c r="O37" i="9"/>
  <c r="O38" i="9"/>
  <c r="O39" i="9"/>
  <c r="O40" i="9"/>
  <c r="O41" i="9"/>
  <c r="O42" i="9"/>
  <c r="O43" i="9"/>
  <c r="O44" i="9"/>
  <c r="O45" i="9"/>
  <c r="T45" i="9" s="1"/>
  <c r="O46" i="9"/>
  <c r="O47" i="9"/>
  <c r="O48" i="9"/>
  <c r="O49" i="9"/>
  <c r="O50" i="9"/>
  <c r="O51" i="9"/>
  <c r="O52" i="9"/>
  <c r="O53" i="9"/>
  <c r="O54" i="9"/>
  <c r="O55" i="9"/>
  <c r="O56" i="9"/>
  <c r="O57" i="9"/>
  <c r="O58" i="9"/>
  <c r="O59" i="9"/>
  <c r="O60" i="9"/>
  <c r="O61" i="9"/>
  <c r="O62" i="9"/>
  <c r="O63" i="9"/>
  <c r="O64" i="9"/>
  <c r="O65" i="9"/>
  <c r="O66" i="9"/>
  <c r="O67" i="9"/>
  <c r="T67" i="9" s="1"/>
  <c r="O68" i="9"/>
  <c r="O69" i="9"/>
  <c r="O70" i="9"/>
  <c r="O71" i="9"/>
  <c r="O72" i="9"/>
  <c r="O73" i="9"/>
  <c r="O74" i="9"/>
  <c r="O75" i="9"/>
  <c r="O76" i="9"/>
  <c r="O77" i="9"/>
  <c r="O78" i="9"/>
  <c r="O79" i="9"/>
  <c r="T79" i="9" s="1"/>
  <c r="O80" i="9"/>
  <c r="O81" i="9"/>
  <c r="O82" i="9"/>
  <c r="O83" i="9"/>
  <c r="O84" i="9"/>
  <c r="O2" i="9"/>
  <c r="X17" i="12"/>
  <c r="X29" i="12"/>
  <c r="X2" i="10"/>
  <c r="X4" i="10"/>
  <c r="X5" i="10"/>
  <c r="X6" i="10"/>
  <c r="X7" i="10"/>
  <c r="X8" i="10"/>
  <c r="X9" i="10"/>
  <c r="X10" i="10"/>
  <c r="X11" i="10"/>
  <c r="X12" i="10"/>
  <c r="X13" i="10"/>
  <c r="X14" i="10"/>
  <c r="X15" i="10"/>
  <c r="X9" i="14"/>
  <c r="X10" i="14"/>
  <c r="X11" i="14"/>
  <c r="X12" i="14"/>
  <c r="X3" i="14"/>
  <c r="X4" i="14"/>
  <c r="X5" i="14"/>
  <c r="X6" i="14"/>
  <c r="X7" i="14"/>
  <c r="X8" i="14"/>
  <c r="X2" i="14"/>
  <c r="W3" i="14"/>
  <c r="W4" i="14"/>
  <c r="W5" i="14"/>
  <c r="W6" i="14"/>
  <c r="W7" i="14"/>
  <c r="W8" i="14"/>
  <c r="W9" i="14"/>
  <c r="W10" i="14"/>
  <c r="W11" i="14"/>
  <c r="W12" i="14"/>
  <c r="W2" i="14"/>
  <c r="W14" i="12"/>
  <c r="W15" i="12"/>
  <c r="W16" i="12"/>
  <c r="W17" i="12"/>
  <c r="W18" i="12"/>
  <c r="W19" i="12"/>
  <c r="W20" i="12"/>
  <c r="W21" i="12"/>
  <c r="W22" i="12"/>
  <c r="W23" i="12"/>
  <c r="W24" i="12"/>
  <c r="W25" i="12"/>
  <c r="W26" i="12"/>
  <c r="W27" i="12"/>
  <c r="W28" i="12"/>
  <c r="W29" i="12"/>
  <c r="W30" i="12"/>
  <c r="W31" i="12"/>
  <c r="W32" i="12"/>
  <c r="W33" i="12"/>
  <c r="W13" i="12"/>
  <c r="W12" i="12"/>
  <c r="W11" i="12"/>
  <c r="W10" i="12"/>
  <c r="W9" i="12"/>
  <c r="W8" i="12"/>
  <c r="W7" i="12"/>
  <c r="W6" i="12"/>
  <c r="W5" i="12"/>
  <c r="W4" i="12"/>
  <c r="W3" i="12"/>
  <c r="W2" i="12"/>
  <c r="W9" i="10"/>
  <c r="W10" i="10"/>
  <c r="W11" i="10"/>
  <c r="W12" i="10"/>
  <c r="W13" i="10"/>
  <c r="W14" i="10"/>
  <c r="W15" i="10"/>
  <c r="W3" i="10"/>
  <c r="W4" i="10"/>
  <c r="W5" i="10"/>
  <c r="W6" i="10"/>
  <c r="W7" i="10"/>
  <c r="W8" i="10"/>
  <c r="W2" i="10"/>
  <c r="O3" i="10"/>
  <c r="O4" i="10"/>
  <c r="O5" i="10"/>
  <c r="O6" i="10"/>
  <c r="O7" i="10"/>
  <c r="O8" i="10"/>
  <c r="O9" i="10"/>
  <c r="O10" i="10"/>
  <c r="O11" i="10"/>
  <c r="O12" i="10"/>
  <c r="O13" i="10"/>
  <c r="O14" i="10"/>
  <c r="T14" i="10" s="1"/>
  <c r="O15" i="10"/>
  <c r="O2" i="10"/>
  <c r="T13" i="10"/>
  <c r="T11" i="10"/>
  <c r="T10" i="10"/>
  <c r="T9" i="10"/>
  <c r="T5" i="10"/>
  <c r="T4" i="10"/>
  <c r="T3" i="10"/>
  <c r="O12" i="14"/>
  <c r="O11" i="14"/>
  <c r="O10" i="14"/>
  <c r="O9" i="14"/>
  <c r="O8" i="14"/>
  <c r="O7" i="14"/>
  <c r="O6" i="14"/>
  <c r="O5" i="14"/>
  <c r="O4" i="14"/>
  <c r="O3" i="14"/>
  <c r="O2" i="14"/>
  <c r="T3" i="11"/>
  <c r="T4" i="11"/>
  <c r="T5" i="11"/>
  <c r="T6" i="11"/>
  <c r="T2" i="11"/>
  <c r="O6" i="11"/>
  <c r="O5" i="11"/>
  <c r="O4" i="11"/>
  <c r="O3" i="11"/>
  <c r="O2" i="11"/>
  <c r="T24" i="12"/>
  <c r="X24" i="12" s="1"/>
  <c r="T23" i="12"/>
  <c r="X23" i="12" s="1"/>
  <c r="T22" i="12"/>
  <c r="T19" i="12"/>
  <c r="X19" i="12" s="1"/>
  <c r="T16" i="12"/>
  <c r="X16" i="12" s="1"/>
  <c r="T11" i="12"/>
  <c r="X11" i="12" s="1"/>
  <c r="T8" i="12"/>
  <c r="X8" i="12" s="1"/>
  <c r="T7" i="12"/>
  <c r="X7" i="12" s="1"/>
  <c r="T6" i="12"/>
  <c r="X6" i="12" s="1"/>
  <c r="T5" i="12"/>
  <c r="X5" i="12" s="1"/>
  <c r="T4" i="12"/>
  <c r="X4" i="12" s="1"/>
  <c r="T33" i="12"/>
  <c r="X33" i="12" s="1"/>
  <c r="T31" i="12"/>
  <c r="X31" i="12" s="1"/>
  <c r="T30" i="12"/>
  <c r="X30" i="12" s="1"/>
  <c r="T29" i="12"/>
  <c r="T27" i="12"/>
  <c r="X27" i="12" s="1"/>
  <c r="T21" i="12"/>
  <c r="X21" i="12" s="1"/>
  <c r="T20" i="12"/>
  <c r="X20" i="12" s="1"/>
  <c r="T18" i="12"/>
  <c r="X18" i="12" s="1"/>
  <c r="T17" i="12"/>
  <c r="T15" i="12"/>
  <c r="X15" i="12" s="1"/>
  <c r="T9" i="12"/>
  <c r="X9" i="12" s="1"/>
  <c r="T3" i="12"/>
  <c r="X3" i="12" s="1"/>
  <c r="T2" i="12"/>
  <c r="X2" i="12" s="1"/>
  <c r="T9" i="9"/>
  <c r="T10" i="9"/>
  <c r="T11" i="9"/>
  <c r="T12" i="9"/>
  <c r="T13" i="9"/>
  <c r="T14" i="9"/>
  <c r="T15" i="9"/>
  <c r="T17" i="9"/>
  <c r="T18" i="9"/>
  <c r="T19" i="9"/>
  <c r="T20" i="9"/>
  <c r="T21" i="9"/>
  <c r="T22" i="9"/>
  <c r="T23" i="9"/>
  <c r="T24" i="9"/>
  <c r="T25" i="9"/>
  <c r="T27" i="9"/>
  <c r="T28" i="9"/>
  <c r="T29" i="9"/>
  <c r="T30" i="9"/>
  <c r="T31" i="9"/>
  <c r="T32" i="9"/>
  <c r="T33" i="9"/>
  <c r="T34" i="9"/>
  <c r="T35" i="9"/>
  <c r="T36" i="9"/>
  <c r="T37" i="9"/>
  <c r="T38" i="9"/>
  <c r="T39" i="9"/>
  <c r="T40" i="9"/>
  <c r="T42" i="9"/>
  <c r="T43" i="9"/>
  <c r="T44" i="9"/>
  <c r="T49" i="9"/>
  <c r="T50" i="9"/>
  <c r="T51" i="9"/>
  <c r="T55" i="9"/>
  <c r="T56" i="9"/>
  <c r="T57" i="9"/>
  <c r="T58" i="9"/>
  <c r="T59" i="9"/>
  <c r="T60" i="9"/>
  <c r="T61" i="9"/>
  <c r="T62" i="9"/>
  <c r="T63" i="9"/>
  <c r="T64" i="9"/>
  <c r="T66" i="9"/>
  <c r="T68" i="9"/>
  <c r="T69" i="9"/>
  <c r="T70" i="9"/>
  <c r="T71" i="9"/>
  <c r="T72" i="9"/>
  <c r="T73" i="9"/>
  <c r="T74" i="9"/>
  <c r="T75" i="9"/>
  <c r="T76" i="9"/>
  <c r="T77" i="9"/>
  <c r="T80" i="9"/>
  <c r="T81" i="9"/>
  <c r="T82" i="9"/>
  <c r="T83" i="9"/>
  <c r="T84" i="9"/>
  <c r="T3" i="9"/>
  <c r="T4" i="9"/>
  <c r="T5" i="9"/>
  <c r="T6" i="9"/>
  <c r="T7" i="9"/>
  <c r="T2" i="9"/>
  <c r="T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2" i="1"/>
  <c r="W2" i="9"/>
  <c r="W3" i="9"/>
  <c r="W4" i="9"/>
  <c r="W5" i="9"/>
  <c r="W6" i="9"/>
  <c r="W7" i="9"/>
  <c r="U3" i="9"/>
  <c r="V3" i="9"/>
  <c r="U4" i="9"/>
  <c r="V4" i="9"/>
  <c r="U5" i="9"/>
  <c r="V5" i="9"/>
  <c r="U6" i="9"/>
  <c r="V6" i="9"/>
  <c r="U7" i="9"/>
  <c r="V7" i="9"/>
  <c r="U8" i="9"/>
  <c r="V8" i="9"/>
  <c r="U9" i="9"/>
  <c r="V9" i="9"/>
  <c r="U10" i="9"/>
  <c r="V10" i="9"/>
  <c r="U11" i="9"/>
  <c r="V11" i="9"/>
  <c r="U12" i="9"/>
  <c r="V12" i="9"/>
  <c r="U13" i="9"/>
  <c r="V13" i="9"/>
  <c r="U14" i="9"/>
  <c r="V14" i="9"/>
  <c r="U15" i="9"/>
  <c r="V15" i="9"/>
  <c r="U16" i="9"/>
  <c r="V16" i="9"/>
  <c r="U17" i="9"/>
  <c r="V17" i="9"/>
  <c r="U18" i="9"/>
  <c r="V18" i="9"/>
  <c r="U19" i="9"/>
  <c r="V19" i="9"/>
  <c r="U20" i="9"/>
  <c r="V20" i="9"/>
  <c r="U21" i="9"/>
  <c r="V21" i="9"/>
  <c r="U22" i="9"/>
  <c r="V22" i="9"/>
  <c r="U23" i="9"/>
  <c r="V23" i="9"/>
  <c r="U24" i="9"/>
  <c r="V24" i="9"/>
  <c r="U25" i="9"/>
  <c r="V25" i="9"/>
  <c r="U26" i="9"/>
  <c r="V26" i="9"/>
  <c r="U27" i="9"/>
  <c r="V27" i="9"/>
  <c r="U28" i="9"/>
  <c r="V28" i="9"/>
  <c r="U29" i="9"/>
  <c r="V29" i="9"/>
  <c r="U30" i="9"/>
  <c r="V30" i="9"/>
  <c r="U31" i="9"/>
  <c r="V31" i="9"/>
  <c r="U32" i="9"/>
  <c r="V32" i="9"/>
  <c r="U33" i="9"/>
  <c r="V33" i="9"/>
  <c r="U34" i="9"/>
  <c r="V34" i="9"/>
  <c r="U35" i="9"/>
  <c r="V35" i="9"/>
  <c r="U36" i="9"/>
  <c r="V36" i="9"/>
  <c r="U37" i="9"/>
  <c r="V37" i="9"/>
  <c r="U38" i="9"/>
  <c r="V38" i="9"/>
  <c r="U39" i="9"/>
  <c r="V39" i="9"/>
  <c r="U40" i="9"/>
  <c r="V40" i="9"/>
  <c r="U41" i="9"/>
  <c r="V41" i="9"/>
  <c r="U42" i="9"/>
  <c r="V42" i="9"/>
  <c r="U43" i="9"/>
  <c r="V43" i="9"/>
  <c r="U44" i="9"/>
  <c r="V44" i="9"/>
  <c r="U45" i="9"/>
  <c r="V45" i="9"/>
  <c r="U46" i="9"/>
  <c r="V46" i="9"/>
  <c r="U47" i="9"/>
  <c r="V47" i="9"/>
  <c r="U48" i="9"/>
  <c r="V48" i="9"/>
  <c r="U49" i="9"/>
  <c r="V49" i="9"/>
  <c r="U50" i="9"/>
  <c r="V50" i="9"/>
  <c r="U51" i="9"/>
  <c r="V51" i="9"/>
  <c r="U52" i="9"/>
  <c r="V52" i="9"/>
  <c r="U53" i="9"/>
  <c r="V53" i="9"/>
  <c r="U54" i="9"/>
  <c r="V54" i="9"/>
  <c r="U55" i="9"/>
  <c r="V55" i="9"/>
  <c r="U56" i="9"/>
  <c r="V56" i="9"/>
  <c r="U57" i="9"/>
  <c r="V57" i="9"/>
  <c r="U58" i="9"/>
  <c r="V58" i="9"/>
  <c r="U59" i="9"/>
  <c r="V59" i="9"/>
  <c r="U60" i="9"/>
  <c r="V60" i="9"/>
  <c r="U61" i="9"/>
  <c r="V61" i="9"/>
  <c r="U62" i="9"/>
  <c r="V62" i="9"/>
  <c r="U63" i="9"/>
  <c r="V63" i="9"/>
  <c r="U64" i="9"/>
  <c r="V64" i="9"/>
  <c r="U65" i="9"/>
  <c r="V65" i="9"/>
  <c r="U66" i="9"/>
  <c r="V66" i="9"/>
  <c r="U67" i="9"/>
  <c r="V67" i="9"/>
  <c r="U68" i="9"/>
  <c r="V68" i="9"/>
  <c r="U69" i="9"/>
  <c r="V69" i="9"/>
  <c r="U70" i="9"/>
  <c r="V70" i="9"/>
  <c r="U71" i="9"/>
  <c r="V71" i="9"/>
  <c r="U72" i="9"/>
  <c r="V72" i="9"/>
  <c r="U73" i="9"/>
  <c r="V73" i="9"/>
  <c r="U74" i="9"/>
  <c r="V74" i="9"/>
  <c r="U75" i="9"/>
  <c r="V75" i="9"/>
  <c r="U76" i="9"/>
  <c r="V76" i="9"/>
  <c r="U77" i="9"/>
  <c r="V77" i="9"/>
  <c r="U78" i="9"/>
  <c r="V78" i="9"/>
  <c r="U79" i="9"/>
  <c r="V79" i="9"/>
  <c r="U80" i="9"/>
  <c r="V80" i="9"/>
  <c r="U81" i="9"/>
  <c r="V81" i="9"/>
  <c r="U82" i="9"/>
  <c r="V82" i="9"/>
  <c r="U83" i="9"/>
  <c r="V83" i="9"/>
  <c r="U84" i="9"/>
  <c r="V84" i="9"/>
  <c r="V2" i="9"/>
  <c r="U2" i="9"/>
  <c r="P3" i="11"/>
  <c r="Q3" i="11"/>
  <c r="R3" i="11"/>
  <c r="S3" i="11"/>
  <c r="P4" i="11"/>
  <c r="Q4" i="11"/>
  <c r="R4" i="11"/>
  <c r="S4" i="11"/>
  <c r="P5" i="11"/>
  <c r="Q5" i="11"/>
  <c r="R5" i="11"/>
  <c r="S5" i="11"/>
  <c r="P6" i="11"/>
  <c r="Q6" i="11"/>
  <c r="R6" i="11"/>
  <c r="S6" i="11"/>
  <c r="S2" i="11"/>
  <c r="R2" i="11"/>
  <c r="Q2" i="11"/>
  <c r="P2" i="11"/>
  <c r="U15" i="10"/>
  <c r="U14" i="10"/>
  <c r="U13" i="10"/>
  <c r="U12" i="10"/>
  <c r="U11" i="10"/>
  <c r="U10" i="10"/>
  <c r="U9" i="10"/>
  <c r="U8" i="10"/>
  <c r="U7" i="10"/>
  <c r="U6" i="10"/>
  <c r="U5" i="10"/>
  <c r="U4" i="10"/>
  <c r="U2" i="10"/>
  <c r="V3" i="14"/>
  <c r="V4" i="14"/>
  <c r="V5" i="14"/>
  <c r="V6" i="14"/>
  <c r="V7" i="14"/>
  <c r="V8" i="14"/>
  <c r="V9" i="14"/>
  <c r="V10" i="14"/>
  <c r="V11" i="14"/>
  <c r="V12" i="14"/>
  <c r="V2" i="14"/>
  <c r="U3" i="14"/>
  <c r="U4" i="14"/>
  <c r="U5" i="14"/>
  <c r="U6" i="14"/>
  <c r="U7" i="14"/>
  <c r="U8" i="14"/>
  <c r="U9" i="14"/>
  <c r="U10" i="14"/>
  <c r="U11" i="14"/>
  <c r="U12" i="14"/>
  <c r="U2" i="14"/>
  <c r="S12" i="14"/>
  <c r="R12" i="14"/>
  <c r="Q12" i="14"/>
  <c r="P12" i="14"/>
  <c r="T11" i="14"/>
  <c r="S11" i="14"/>
  <c r="R11" i="14"/>
  <c r="Q11" i="14"/>
  <c r="P11" i="14"/>
  <c r="T10" i="14"/>
  <c r="S10" i="14"/>
  <c r="R10" i="14"/>
  <c r="Q10" i="14"/>
  <c r="P10" i="14"/>
  <c r="T9" i="14"/>
  <c r="S9" i="14"/>
  <c r="R9" i="14"/>
  <c r="Q9" i="14"/>
  <c r="P9" i="14"/>
  <c r="S8" i="14"/>
  <c r="R8" i="14"/>
  <c r="Q8" i="14"/>
  <c r="P8" i="14"/>
  <c r="S7" i="14"/>
  <c r="R7" i="14"/>
  <c r="Q7" i="14"/>
  <c r="P7" i="14"/>
  <c r="S6" i="14"/>
  <c r="R6" i="14"/>
  <c r="Q6" i="14"/>
  <c r="P6" i="14"/>
  <c r="S5" i="14"/>
  <c r="R5" i="14"/>
  <c r="Q5" i="14"/>
  <c r="P5" i="14"/>
  <c r="T4" i="14"/>
  <c r="S4" i="14"/>
  <c r="R4" i="14"/>
  <c r="Q4" i="14"/>
  <c r="P4" i="14"/>
  <c r="T3" i="14"/>
  <c r="S3" i="14"/>
  <c r="R3" i="14"/>
  <c r="Q3" i="14"/>
  <c r="P3" i="14"/>
  <c r="T2" i="14"/>
  <c r="S2" i="14"/>
  <c r="R2" i="14"/>
  <c r="Q2" i="14"/>
  <c r="P2" i="14"/>
  <c r="V4" i="10"/>
  <c r="V5" i="10"/>
  <c r="V6" i="10"/>
  <c r="V7" i="10"/>
  <c r="V8" i="10"/>
  <c r="V9" i="10"/>
  <c r="V10" i="10"/>
  <c r="V11" i="10"/>
  <c r="V12" i="10"/>
  <c r="V13" i="10"/>
  <c r="V14" i="10"/>
  <c r="V15" i="10"/>
  <c r="V2" i="10"/>
  <c r="S15" i="10"/>
  <c r="R15" i="10"/>
  <c r="Q15" i="10"/>
  <c r="P15" i="10"/>
  <c r="T15" i="10" s="1"/>
  <c r="S14" i="10"/>
  <c r="R14" i="10"/>
  <c r="Q14" i="10"/>
  <c r="P14" i="10"/>
  <c r="S13" i="10"/>
  <c r="R13" i="10"/>
  <c r="Q13" i="10"/>
  <c r="P13" i="10"/>
  <c r="S12" i="10"/>
  <c r="R12" i="10"/>
  <c r="Q12" i="10"/>
  <c r="P12" i="10"/>
  <c r="S11" i="10"/>
  <c r="R11" i="10"/>
  <c r="Q11" i="10"/>
  <c r="P11" i="10"/>
  <c r="S10" i="10"/>
  <c r="R10" i="10"/>
  <c r="Q10" i="10"/>
  <c r="P10" i="10"/>
  <c r="S9" i="10"/>
  <c r="R9" i="10"/>
  <c r="Q9" i="10"/>
  <c r="P9" i="10"/>
  <c r="S8" i="10"/>
  <c r="R8" i="10"/>
  <c r="Q8" i="10"/>
  <c r="P8" i="10"/>
  <c r="T8" i="10" s="1"/>
  <c r="S7" i="10"/>
  <c r="R7" i="10"/>
  <c r="Q7" i="10"/>
  <c r="P7" i="10"/>
  <c r="T7" i="10" s="1"/>
  <c r="S6" i="10"/>
  <c r="R6" i="10"/>
  <c r="Q6" i="10"/>
  <c r="P6" i="10"/>
  <c r="S5" i="10"/>
  <c r="R5" i="10"/>
  <c r="Q5" i="10"/>
  <c r="P5" i="10"/>
  <c r="S4" i="10"/>
  <c r="R4" i="10"/>
  <c r="Q4" i="10"/>
  <c r="P4" i="10"/>
  <c r="S3" i="10"/>
  <c r="R3" i="10"/>
  <c r="Q3" i="10"/>
  <c r="P3" i="10"/>
  <c r="S2" i="10"/>
  <c r="R2" i="10"/>
  <c r="Q2" i="10"/>
  <c r="P2" i="10"/>
  <c r="P3" i="12"/>
  <c r="Q3" i="12"/>
  <c r="R3" i="12"/>
  <c r="S3" i="12"/>
  <c r="P4" i="12"/>
  <c r="Q4" i="12"/>
  <c r="R4" i="12"/>
  <c r="S4" i="12"/>
  <c r="P5" i="12"/>
  <c r="Q5" i="12"/>
  <c r="R5" i="12"/>
  <c r="S5" i="12"/>
  <c r="P6" i="12"/>
  <c r="Q6" i="12"/>
  <c r="R6" i="12"/>
  <c r="S6" i="12"/>
  <c r="P7" i="12"/>
  <c r="Q7" i="12"/>
  <c r="R7" i="12"/>
  <c r="S7" i="12"/>
  <c r="P8" i="12"/>
  <c r="Q8" i="12"/>
  <c r="R8" i="12"/>
  <c r="S8" i="12"/>
  <c r="P9" i="12"/>
  <c r="Q9" i="12"/>
  <c r="R9" i="12"/>
  <c r="S9" i="12"/>
  <c r="P10" i="12"/>
  <c r="T10" i="12" s="1"/>
  <c r="X10" i="12" s="1"/>
  <c r="Q10" i="12"/>
  <c r="R10" i="12"/>
  <c r="S10" i="12"/>
  <c r="P11" i="12"/>
  <c r="Q11" i="12"/>
  <c r="R11" i="12"/>
  <c r="S11" i="12"/>
  <c r="P12" i="12"/>
  <c r="T12" i="12" s="1"/>
  <c r="X12" i="12" s="1"/>
  <c r="Q12" i="12"/>
  <c r="R12" i="12"/>
  <c r="S12" i="12"/>
  <c r="P13" i="12"/>
  <c r="T13" i="12" s="1"/>
  <c r="X13" i="12" s="1"/>
  <c r="Q13" i="12"/>
  <c r="R13" i="12"/>
  <c r="S13" i="12"/>
  <c r="P14" i="12"/>
  <c r="Q14" i="12"/>
  <c r="R14" i="12"/>
  <c r="S14" i="12"/>
  <c r="P15" i="12"/>
  <c r="Q15" i="12"/>
  <c r="R15" i="12"/>
  <c r="S15" i="12"/>
  <c r="P16" i="12"/>
  <c r="Q16" i="12"/>
  <c r="R16" i="12"/>
  <c r="S16" i="12"/>
  <c r="P17" i="12"/>
  <c r="Q17" i="12"/>
  <c r="R17" i="12"/>
  <c r="S17" i="12"/>
  <c r="P18" i="12"/>
  <c r="Q18" i="12"/>
  <c r="R18" i="12"/>
  <c r="S18" i="12"/>
  <c r="P19" i="12"/>
  <c r="Q19" i="12"/>
  <c r="R19" i="12"/>
  <c r="S19" i="12"/>
  <c r="P20" i="12"/>
  <c r="Q20" i="12"/>
  <c r="R20" i="12"/>
  <c r="S20" i="12"/>
  <c r="P21" i="12"/>
  <c r="Q21" i="12"/>
  <c r="R21" i="12"/>
  <c r="S21" i="12"/>
  <c r="P22" i="12"/>
  <c r="Q22" i="12"/>
  <c r="R22" i="12"/>
  <c r="S22" i="12"/>
  <c r="P23" i="12"/>
  <c r="Q23" i="12"/>
  <c r="R23" i="12"/>
  <c r="S23" i="12"/>
  <c r="P24" i="12"/>
  <c r="Q24" i="12"/>
  <c r="R24" i="12"/>
  <c r="S24" i="12"/>
  <c r="P25" i="12"/>
  <c r="T25" i="12" s="1"/>
  <c r="X25" i="12" s="1"/>
  <c r="Q25" i="12"/>
  <c r="R25" i="12"/>
  <c r="S25" i="12"/>
  <c r="P26" i="12"/>
  <c r="Q26" i="12"/>
  <c r="R26" i="12"/>
  <c r="S26" i="12"/>
  <c r="P27" i="12"/>
  <c r="Q27" i="12"/>
  <c r="R27" i="12"/>
  <c r="S27" i="12"/>
  <c r="P28" i="12"/>
  <c r="T28" i="12" s="1"/>
  <c r="X28" i="12" s="1"/>
  <c r="Q28" i="12"/>
  <c r="R28" i="12"/>
  <c r="S28" i="12"/>
  <c r="P29" i="12"/>
  <c r="Q29" i="12"/>
  <c r="R29" i="12"/>
  <c r="S29" i="12"/>
  <c r="P30" i="12"/>
  <c r="Q30" i="12"/>
  <c r="R30" i="12"/>
  <c r="S30" i="12"/>
  <c r="P31" i="12"/>
  <c r="Q31" i="12"/>
  <c r="R31" i="12"/>
  <c r="S31" i="12"/>
  <c r="P32" i="12"/>
  <c r="Q32" i="12"/>
  <c r="R32" i="12"/>
  <c r="S32" i="12"/>
  <c r="P33" i="12"/>
  <c r="Q33" i="12"/>
  <c r="R33" i="12"/>
  <c r="S33" i="12"/>
  <c r="S2" i="12"/>
  <c r="R2" i="12"/>
  <c r="Q2" i="12"/>
  <c r="P2" i="12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2" i="1"/>
  <c r="P3" i="9"/>
  <c r="Q3" i="9"/>
  <c r="R3" i="9"/>
  <c r="S3" i="9"/>
  <c r="P4" i="9"/>
  <c r="Q4" i="9"/>
  <c r="R4" i="9"/>
  <c r="S4" i="9"/>
  <c r="P5" i="9"/>
  <c r="Q5" i="9"/>
  <c r="R5" i="9"/>
  <c r="S5" i="9"/>
  <c r="P6" i="9"/>
  <c r="Q6" i="9"/>
  <c r="R6" i="9"/>
  <c r="S6" i="9"/>
  <c r="P7" i="9"/>
  <c r="Q7" i="9"/>
  <c r="R7" i="9"/>
  <c r="S7" i="9"/>
  <c r="P8" i="9"/>
  <c r="T8" i="9" s="1"/>
  <c r="Q8" i="9"/>
  <c r="R8" i="9"/>
  <c r="S8" i="9"/>
  <c r="P9" i="9"/>
  <c r="Q9" i="9"/>
  <c r="R9" i="9"/>
  <c r="S9" i="9"/>
  <c r="P10" i="9"/>
  <c r="Q10" i="9"/>
  <c r="R10" i="9"/>
  <c r="S10" i="9"/>
  <c r="P11" i="9"/>
  <c r="Q11" i="9"/>
  <c r="R11" i="9"/>
  <c r="S11" i="9"/>
  <c r="P12" i="9"/>
  <c r="Q12" i="9"/>
  <c r="R12" i="9"/>
  <c r="S12" i="9"/>
  <c r="P13" i="9"/>
  <c r="Q13" i="9"/>
  <c r="R13" i="9"/>
  <c r="S13" i="9"/>
  <c r="P14" i="9"/>
  <c r="Q14" i="9"/>
  <c r="R14" i="9"/>
  <c r="S14" i="9"/>
  <c r="P15" i="9"/>
  <c r="Q15" i="9"/>
  <c r="R15" i="9"/>
  <c r="S15" i="9"/>
  <c r="P16" i="9"/>
  <c r="T16" i="9" s="1"/>
  <c r="Q16" i="9"/>
  <c r="R16" i="9"/>
  <c r="S16" i="9"/>
  <c r="P17" i="9"/>
  <c r="Q17" i="9"/>
  <c r="R17" i="9"/>
  <c r="S17" i="9"/>
  <c r="P18" i="9"/>
  <c r="Q18" i="9"/>
  <c r="R18" i="9"/>
  <c r="S18" i="9"/>
  <c r="P19" i="9"/>
  <c r="Q19" i="9"/>
  <c r="R19" i="9"/>
  <c r="S19" i="9"/>
  <c r="P20" i="9"/>
  <c r="Q20" i="9"/>
  <c r="R20" i="9"/>
  <c r="S20" i="9"/>
  <c r="P21" i="9"/>
  <c r="Q21" i="9"/>
  <c r="R21" i="9"/>
  <c r="S21" i="9"/>
  <c r="P22" i="9"/>
  <c r="Q22" i="9"/>
  <c r="R22" i="9"/>
  <c r="S22" i="9"/>
  <c r="P23" i="9"/>
  <c r="Q23" i="9"/>
  <c r="R23" i="9"/>
  <c r="S23" i="9"/>
  <c r="P24" i="9"/>
  <c r="Q24" i="9"/>
  <c r="R24" i="9"/>
  <c r="S24" i="9"/>
  <c r="P25" i="9"/>
  <c r="Q25" i="9"/>
  <c r="R25" i="9"/>
  <c r="S25" i="9"/>
  <c r="P26" i="9"/>
  <c r="Q26" i="9"/>
  <c r="R26" i="9"/>
  <c r="S26" i="9"/>
  <c r="P27" i="9"/>
  <c r="Q27" i="9"/>
  <c r="R27" i="9"/>
  <c r="S27" i="9"/>
  <c r="P28" i="9"/>
  <c r="Q28" i="9"/>
  <c r="R28" i="9"/>
  <c r="S28" i="9"/>
  <c r="P29" i="9"/>
  <c r="Q29" i="9"/>
  <c r="R29" i="9"/>
  <c r="S29" i="9"/>
  <c r="P30" i="9"/>
  <c r="Q30" i="9"/>
  <c r="R30" i="9"/>
  <c r="S30" i="9"/>
  <c r="P31" i="9"/>
  <c r="Q31" i="9"/>
  <c r="R31" i="9"/>
  <c r="S31" i="9"/>
  <c r="P32" i="9"/>
  <c r="Q32" i="9"/>
  <c r="R32" i="9"/>
  <c r="S32" i="9"/>
  <c r="P33" i="9"/>
  <c r="Q33" i="9"/>
  <c r="R33" i="9"/>
  <c r="S33" i="9"/>
  <c r="P34" i="9"/>
  <c r="Q34" i="9"/>
  <c r="R34" i="9"/>
  <c r="S34" i="9"/>
  <c r="P35" i="9"/>
  <c r="Q35" i="9"/>
  <c r="R35" i="9"/>
  <c r="S35" i="9"/>
  <c r="P36" i="9"/>
  <c r="Q36" i="9"/>
  <c r="R36" i="9"/>
  <c r="S36" i="9"/>
  <c r="P37" i="9"/>
  <c r="Q37" i="9"/>
  <c r="R37" i="9"/>
  <c r="S37" i="9"/>
  <c r="P38" i="9"/>
  <c r="Q38" i="9"/>
  <c r="R38" i="9"/>
  <c r="S38" i="9"/>
  <c r="P39" i="9"/>
  <c r="Q39" i="9"/>
  <c r="R39" i="9"/>
  <c r="S39" i="9"/>
  <c r="P40" i="9"/>
  <c r="Q40" i="9"/>
  <c r="R40" i="9"/>
  <c r="S40" i="9"/>
  <c r="P41" i="9"/>
  <c r="T41" i="9" s="1"/>
  <c r="Q41" i="9"/>
  <c r="R41" i="9"/>
  <c r="S41" i="9"/>
  <c r="P42" i="9"/>
  <c r="Q42" i="9"/>
  <c r="R42" i="9"/>
  <c r="S42" i="9"/>
  <c r="P43" i="9"/>
  <c r="Q43" i="9"/>
  <c r="R43" i="9"/>
  <c r="S43" i="9"/>
  <c r="P44" i="9"/>
  <c r="Q44" i="9"/>
  <c r="R44" i="9"/>
  <c r="S44" i="9"/>
  <c r="P45" i="9"/>
  <c r="Q45" i="9"/>
  <c r="R45" i="9"/>
  <c r="S45" i="9"/>
  <c r="P46" i="9"/>
  <c r="Q46" i="9"/>
  <c r="R46" i="9"/>
  <c r="S46" i="9"/>
  <c r="P47" i="9"/>
  <c r="T47" i="9" s="1"/>
  <c r="Q47" i="9"/>
  <c r="R47" i="9"/>
  <c r="S47" i="9"/>
  <c r="P48" i="9"/>
  <c r="Q48" i="9"/>
  <c r="R48" i="9"/>
  <c r="S48" i="9"/>
  <c r="P49" i="9"/>
  <c r="Q49" i="9"/>
  <c r="R49" i="9"/>
  <c r="S49" i="9"/>
  <c r="P50" i="9"/>
  <c r="Q50" i="9"/>
  <c r="R50" i="9"/>
  <c r="S50" i="9"/>
  <c r="P51" i="9"/>
  <c r="Q51" i="9"/>
  <c r="R51" i="9"/>
  <c r="S51" i="9"/>
  <c r="P52" i="9"/>
  <c r="T52" i="9" s="1"/>
  <c r="Q52" i="9"/>
  <c r="R52" i="9"/>
  <c r="S52" i="9"/>
  <c r="P53" i="9"/>
  <c r="T53" i="9" s="1"/>
  <c r="Q53" i="9"/>
  <c r="R53" i="9"/>
  <c r="S53" i="9"/>
  <c r="P54" i="9"/>
  <c r="T54" i="9" s="1"/>
  <c r="Q54" i="9"/>
  <c r="R54" i="9"/>
  <c r="S54" i="9"/>
  <c r="P55" i="9"/>
  <c r="Q55" i="9"/>
  <c r="R55" i="9"/>
  <c r="S55" i="9"/>
  <c r="P56" i="9"/>
  <c r="Q56" i="9"/>
  <c r="R56" i="9"/>
  <c r="S56" i="9"/>
  <c r="P57" i="9"/>
  <c r="Q57" i="9"/>
  <c r="R57" i="9"/>
  <c r="S57" i="9"/>
  <c r="P58" i="9"/>
  <c r="Q58" i="9"/>
  <c r="R58" i="9"/>
  <c r="S58" i="9"/>
  <c r="P59" i="9"/>
  <c r="Q59" i="9"/>
  <c r="R59" i="9"/>
  <c r="S59" i="9"/>
  <c r="P60" i="9"/>
  <c r="Q60" i="9"/>
  <c r="R60" i="9"/>
  <c r="S60" i="9"/>
  <c r="P61" i="9"/>
  <c r="Q61" i="9"/>
  <c r="R61" i="9"/>
  <c r="S61" i="9"/>
  <c r="P62" i="9"/>
  <c r="Q62" i="9"/>
  <c r="R62" i="9"/>
  <c r="S62" i="9"/>
  <c r="P63" i="9"/>
  <c r="Q63" i="9"/>
  <c r="R63" i="9"/>
  <c r="S63" i="9"/>
  <c r="P64" i="9"/>
  <c r="Q64" i="9"/>
  <c r="R64" i="9"/>
  <c r="S64" i="9"/>
  <c r="P65" i="9"/>
  <c r="T65" i="9" s="1"/>
  <c r="Q65" i="9"/>
  <c r="R65" i="9"/>
  <c r="S65" i="9"/>
  <c r="P66" i="9"/>
  <c r="Q66" i="9"/>
  <c r="R66" i="9"/>
  <c r="S66" i="9"/>
  <c r="P67" i="9"/>
  <c r="Q67" i="9"/>
  <c r="R67" i="9"/>
  <c r="S67" i="9"/>
  <c r="P68" i="9"/>
  <c r="Q68" i="9"/>
  <c r="R68" i="9"/>
  <c r="S68" i="9"/>
  <c r="P69" i="9"/>
  <c r="Q69" i="9"/>
  <c r="R69" i="9"/>
  <c r="S69" i="9"/>
  <c r="P70" i="9"/>
  <c r="Q70" i="9"/>
  <c r="R70" i="9"/>
  <c r="S70" i="9"/>
  <c r="P71" i="9"/>
  <c r="Q71" i="9"/>
  <c r="R71" i="9"/>
  <c r="S71" i="9"/>
  <c r="P72" i="9"/>
  <c r="Q72" i="9"/>
  <c r="R72" i="9"/>
  <c r="S72" i="9"/>
  <c r="P73" i="9"/>
  <c r="Q73" i="9"/>
  <c r="R73" i="9"/>
  <c r="S73" i="9"/>
  <c r="P74" i="9"/>
  <c r="Q74" i="9"/>
  <c r="R74" i="9"/>
  <c r="S74" i="9"/>
  <c r="P75" i="9"/>
  <c r="Q75" i="9"/>
  <c r="R75" i="9"/>
  <c r="S75" i="9"/>
  <c r="P76" i="9"/>
  <c r="Q76" i="9"/>
  <c r="R76" i="9"/>
  <c r="S76" i="9"/>
  <c r="P77" i="9"/>
  <c r="Q77" i="9"/>
  <c r="R77" i="9"/>
  <c r="S77" i="9"/>
  <c r="P78" i="9"/>
  <c r="T78" i="9" s="1"/>
  <c r="Q78" i="9"/>
  <c r="R78" i="9"/>
  <c r="S78" i="9"/>
  <c r="P79" i="9"/>
  <c r="Q79" i="9"/>
  <c r="R79" i="9"/>
  <c r="S79" i="9"/>
  <c r="P80" i="9"/>
  <c r="Q80" i="9"/>
  <c r="R80" i="9"/>
  <c r="S80" i="9"/>
  <c r="P81" i="9"/>
  <c r="Q81" i="9"/>
  <c r="R81" i="9"/>
  <c r="S81" i="9"/>
  <c r="P82" i="9"/>
  <c r="Q82" i="9"/>
  <c r="R82" i="9"/>
  <c r="S82" i="9"/>
  <c r="P83" i="9"/>
  <c r="Q83" i="9"/>
  <c r="R83" i="9"/>
  <c r="S83" i="9"/>
  <c r="P84" i="9"/>
  <c r="Q84" i="9"/>
  <c r="R84" i="9"/>
  <c r="S84" i="9"/>
  <c r="S2" i="9"/>
  <c r="R2" i="9"/>
  <c r="Q2" i="9"/>
  <c r="P2" i="9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2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2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2" i="1"/>
  <c r="X3" i="10" l="1"/>
  <c r="T26" i="9"/>
  <c r="T46" i="9"/>
  <c r="X22" i="12"/>
  <c r="T14" i="12"/>
  <c r="X14" i="12" s="1"/>
  <c r="T12" i="10"/>
  <c r="T6" i="10"/>
  <c r="T2" i="10"/>
  <c r="T6" i="14"/>
  <c r="T12" i="14"/>
  <c r="T7" i="14"/>
  <c r="T5" i="14"/>
  <c r="T8" i="14"/>
  <c r="W9" i="9"/>
  <c r="W10" i="9"/>
  <c r="W11" i="9"/>
  <c r="W12" i="9"/>
  <c r="W13" i="9"/>
  <c r="W14" i="9"/>
  <c r="W15" i="9"/>
  <c r="W17" i="9"/>
  <c r="W18" i="9"/>
  <c r="W19" i="9"/>
  <c r="W20" i="9"/>
  <c r="W21" i="9"/>
  <c r="W22" i="9"/>
  <c r="W23" i="9"/>
  <c r="W24" i="9"/>
  <c r="W25" i="9"/>
  <c r="W27" i="9"/>
  <c r="W28" i="9"/>
  <c r="W29" i="9"/>
  <c r="W30" i="9"/>
  <c r="W31" i="9"/>
  <c r="W32" i="9"/>
  <c r="W33" i="9"/>
  <c r="W34" i="9"/>
  <c r="W35" i="9"/>
  <c r="W36" i="9"/>
  <c r="W37" i="9"/>
  <c r="W38" i="9"/>
  <c r="W39" i="9"/>
  <c r="W40" i="9"/>
  <c r="W42" i="9"/>
  <c r="W43" i="9"/>
  <c r="W44" i="9"/>
  <c r="W48" i="9"/>
  <c r="W49" i="9"/>
  <c r="X49" i="9" s="1"/>
  <c r="W50" i="9"/>
  <c r="X50" i="9" s="1"/>
  <c r="W51" i="9"/>
  <c r="W55" i="9"/>
  <c r="W56" i="9"/>
  <c r="W57" i="9"/>
  <c r="W58" i="9"/>
  <c r="W59" i="9"/>
  <c r="W60" i="9"/>
  <c r="W61" i="9"/>
  <c r="W62" i="9"/>
  <c r="W63" i="9"/>
  <c r="W64" i="9"/>
  <c r="W66" i="9"/>
  <c r="W68" i="9"/>
  <c r="W69" i="9"/>
  <c r="W70" i="9"/>
  <c r="W71" i="9"/>
  <c r="W72" i="9"/>
  <c r="W73" i="9"/>
  <c r="W74" i="9"/>
  <c r="W75" i="9"/>
  <c r="W76" i="9"/>
  <c r="W77" i="9"/>
  <c r="W80" i="9"/>
  <c r="W81" i="9"/>
  <c r="W82" i="9"/>
  <c r="W83" i="9"/>
  <c r="W84" i="9"/>
  <c r="U3" i="12"/>
  <c r="V3" i="12"/>
  <c r="U4" i="12"/>
  <c r="V4" i="12"/>
  <c r="U5" i="12"/>
  <c r="V5" i="12"/>
  <c r="U6" i="12"/>
  <c r="V6" i="12"/>
  <c r="U7" i="12"/>
  <c r="V7" i="12"/>
  <c r="U8" i="12"/>
  <c r="V8" i="12"/>
  <c r="U9" i="12"/>
  <c r="V9" i="12"/>
  <c r="U10" i="12"/>
  <c r="V10" i="12"/>
  <c r="U11" i="12"/>
  <c r="V11" i="12"/>
  <c r="U12" i="12"/>
  <c r="V12" i="12"/>
  <c r="U13" i="12"/>
  <c r="V13" i="12"/>
  <c r="U14" i="12"/>
  <c r="V14" i="12"/>
  <c r="U15" i="12"/>
  <c r="V15" i="12"/>
  <c r="U16" i="12"/>
  <c r="V16" i="12"/>
  <c r="U17" i="12"/>
  <c r="V17" i="12"/>
  <c r="U18" i="12"/>
  <c r="V18" i="12"/>
  <c r="U19" i="12"/>
  <c r="V19" i="12"/>
  <c r="U20" i="12"/>
  <c r="V20" i="12"/>
  <c r="U21" i="12"/>
  <c r="V21" i="12"/>
  <c r="U22" i="12"/>
  <c r="V22" i="12"/>
  <c r="U23" i="12"/>
  <c r="V23" i="12"/>
  <c r="U24" i="12"/>
  <c r="V24" i="12"/>
  <c r="U25" i="12"/>
  <c r="V25" i="12"/>
  <c r="U26" i="12"/>
  <c r="V26" i="12"/>
  <c r="U27" i="12"/>
  <c r="V27" i="12"/>
  <c r="U28" i="12"/>
  <c r="V28" i="12"/>
  <c r="U29" i="12"/>
  <c r="V29" i="12"/>
  <c r="U30" i="12"/>
  <c r="V30" i="12"/>
  <c r="U31" i="12"/>
  <c r="V31" i="12"/>
  <c r="U32" i="12"/>
  <c r="V32" i="12"/>
  <c r="U33" i="12"/>
  <c r="V33" i="12"/>
  <c r="V2" i="12"/>
  <c r="U2" i="12"/>
  <c r="U6" i="1"/>
  <c r="V6" i="1" s="1"/>
  <c r="U7" i="1"/>
  <c r="U8" i="1"/>
  <c r="U9" i="1"/>
  <c r="U10" i="1"/>
  <c r="U11" i="1"/>
  <c r="U12" i="1"/>
  <c r="V12" i="1" s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V69" i="1" s="1"/>
  <c r="U70" i="1"/>
  <c r="V70" i="1" s="1"/>
  <c r="U3" i="1"/>
  <c r="U4" i="1"/>
  <c r="U5" i="1"/>
  <c r="U2" i="1"/>
  <c r="V2" i="1" s="1"/>
  <c r="W53" i="9" l="1"/>
  <c r="W65" i="9"/>
  <c r="W45" i="9"/>
  <c r="W16" i="9"/>
  <c r="W46" i="9"/>
  <c r="W52" i="9"/>
  <c r="W47" i="9"/>
  <c r="W78" i="9"/>
  <c r="W67" i="9"/>
  <c r="W79" i="9"/>
  <c r="W8" i="9"/>
  <c r="W26" i="9"/>
  <c r="W41" i="9"/>
  <c r="W54" i="9"/>
</calcChain>
</file>

<file path=xl/sharedStrings.xml><?xml version="1.0" encoding="utf-8"?>
<sst xmlns="http://schemas.openxmlformats.org/spreadsheetml/2006/main" count="3618" uniqueCount="1549">
  <si>
    <t>SEASON</t>
    <phoneticPr fontId="1" type="noConversion"/>
  </si>
  <si>
    <t>VENDOR</t>
    <phoneticPr fontId="1" type="noConversion"/>
  </si>
  <si>
    <t>FACTORY</t>
    <phoneticPr fontId="1" type="noConversion"/>
  </si>
  <si>
    <t>MAIN.NO</t>
  </si>
  <si>
    <t>원단 업체명</t>
    <phoneticPr fontId="1" type="noConversion"/>
  </si>
  <si>
    <t>원단명</t>
    <phoneticPr fontId="1" type="noConversion"/>
  </si>
  <si>
    <t>혼용율</t>
    <phoneticPr fontId="1" type="noConversion"/>
  </si>
  <si>
    <t>후가공</t>
    <phoneticPr fontId="1" type="noConversion"/>
  </si>
  <si>
    <t>스트레치</t>
    <phoneticPr fontId="1" type="noConversion"/>
  </si>
  <si>
    <t>중량</t>
    <phoneticPr fontId="1" type="noConversion"/>
  </si>
  <si>
    <t>지퍼사양</t>
    <phoneticPr fontId="1" type="noConversion"/>
  </si>
  <si>
    <t>ISSUE</t>
    <phoneticPr fontId="1" type="noConversion"/>
  </si>
  <si>
    <t>원단 코드</t>
    <phoneticPr fontId="1" type="noConversion"/>
  </si>
  <si>
    <t>지퍼 코드</t>
    <phoneticPr fontId="1" type="noConversion"/>
  </si>
  <si>
    <t>알람 메시지</t>
    <phoneticPr fontId="1" type="noConversion"/>
  </si>
  <si>
    <t>25SS</t>
    <phoneticPr fontId="1" type="noConversion"/>
  </si>
  <si>
    <t>노브랜드</t>
    <phoneticPr fontId="1" type="noConversion"/>
  </si>
  <si>
    <t>PUKU2</t>
  </si>
  <si>
    <t>3ATRB0151</t>
  </si>
  <si>
    <t>FUHUI</t>
  </si>
  <si>
    <t>WALTER</t>
  </si>
  <si>
    <t>89% Cotton, 11% Polyester(Sorona)</t>
  </si>
  <si>
    <t>Bio-Polish</t>
  </si>
  <si>
    <t>X</t>
  </si>
  <si>
    <t>VI-Lv1</t>
  </si>
  <si>
    <t>SBS_VS_#3 2-WAY O/E TRIANGLE TEETH_MLB RECTANGULAR</t>
    <phoneticPr fontId="1" type="noConversion"/>
  </si>
  <si>
    <t>지퍼 웨이브</t>
    <phoneticPr fontId="1" type="noConversion"/>
  </si>
  <si>
    <t>CS</t>
    <phoneticPr fontId="1" type="noConversion"/>
  </si>
  <si>
    <t>AF</t>
  </si>
  <si>
    <t>Lv 4</t>
  </si>
  <si>
    <t>NBVO3F</t>
    <phoneticPr fontId="1" type="noConversion"/>
  </si>
  <si>
    <t>3FOPB0353</t>
  </si>
  <si>
    <t>KIS</t>
  </si>
  <si>
    <t>FRESHVENT</t>
  </si>
  <si>
    <t>84% Nylon, 16% Polyurethane</t>
  </si>
  <si>
    <t>WR</t>
  </si>
  <si>
    <t>O</t>
  </si>
  <si>
    <t>SBS_VS_#3 C/E TRIANGLE TEETH_MLB RECTANGULAR</t>
    <phoneticPr fontId="1" type="noConversion"/>
  </si>
  <si>
    <t>지퍼 꿀렁거림
하단 뻗침</t>
    <phoneticPr fontId="1" type="noConversion"/>
  </si>
  <si>
    <t>Lv 2</t>
  </si>
  <si>
    <t>약진</t>
    <phoneticPr fontId="1" type="noConversion"/>
  </si>
  <si>
    <t>YAKJIN VIETNAM</t>
    <phoneticPr fontId="1" type="noConversion"/>
  </si>
  <si>
    <t>3FTRB1151</t>
  </si>
  <si>
    <t>HONGGANG</t>
  </si>
  <si>
    <t>LILIAN</t>
  </si>
  <si>
    <t>87% Nylon, 13% Spandex</t>
  </si>
  <si>
    <t>None</t>
  </si>
  <si>
    <t>지퍼 꿀렁임</t>
    <phoneticPr fontId="1" type="noConversion"/>
  </si>
  <si>
    <t>ST</t>
  </si>
  <si>
    <t>기도</t>
    <phoneticPr fontId="1" type="noConversion"/>
  </si>
  <si>
    <t>기도 양곤</t>
    <phoneticPr fontId="1" type="noConversion"/>
  </si>
  <si>
    <t>3FWJV0153</t>
  </si>
  <si>
    <t>JUSTSUN</t>
  </si>
  <si>
    <t>MAGGY</t>
  </si>
  <si>
    <t>95% Nylon, 5% Spandex</t>
  </si>
  <si>
    <t>Piece Dyed + Quick Dry + UV</t>
  </si>
  <si>
    <t>SAB_NY_#3 O/E REVERSE_MLB RECTANGULAR_SEMI AUTO</t>
    <phoneticPr fontId="1" type="noConversion"/>
  </si>
  <si>
    <t>앞지퍼 꿀렁거림</t>
    <phoneticPr fontId="1" type="noConversion"/>
  </si>
  <si>
    <t>FN</t>
  </si>
  <si>
    <t>3AWJB0153</t>
  </si>
  <si>
    <t>DOONLY</t>
  </si>
  <si>
    <t>RIAN</t>
  </si>
  <si>
    <t>90% Nylon, 10% Spandex</t>
  </si>
  <si>
    <t>SAB_VS_#3 O/E TRANSPARENT TEETH_MLB RECTANGULAR</t>
    <phoneticPr fontId="1" type="noConversion"/>
  </si>
  <si>
    <t>앞지퍼 비리지는 현상</t>
  </si>
  <si>
    <t>나디아</t>
    <phoneticPr fontId="1" type="noConversion"/>
  </si>
  <si>
    <t>VNC</t>
    <phoneticPr fontId="1" type="noConversion"/>
  </si>
  <si>
    <t>3AWJV0151</t>
  </si>
  <si>
    <t>티피나디아</t>
  </si>
  <si>
    <t>KIDMILLI</t>
  </si>
  <si>
    <t>100% Nylon</t>
  </si>
  <si>
    <t>Peach + Airo Wash</t>
  </si>
  <si>
    <t>SAB_#5 VISLON O/E TRIANGLE TEETH_MLB RECTANGULAR_SEMI AUTO</t>
    <phoneticPr fontId="1" type="noConversion"/>
  </si>
  <si>
    <t xml:space="preserve">TMMI </t>
    <phoneticPr fontId="1" type="noConversion"/>
  </si>
  <si>
    <t>3AWJB0553</t>
  </si>
  <si>
    <t>GAVIN</t>
  </si>
  <si>
    <t>WR + Airo Wash + UV</t>
  </si>
  <si>
    <t>SAB_#3 VISLON C/E TRIANGLE TEETH_MLB RECTANGULAR_SEMI AUTO</t>
    <phoneticPr fontId="1" type="noConversion"/>
  </si>
  <si>
    <t>Lv 1</t>
  </si>
  <si>
    <t>포마트</t>
    <phoneticPr fontId="1" type="noConversion"/>
  </si>
  <si>
    <t>본공장</t>
  </si>
  <si>
    <t>3FWJV0253</t>
  </si>
  <si>
    <t>씨앤에이원</t>
  </si>
  <si>
    <t>ALENA</t>
  </si>
  <si>
    <t>WR + Face Cire</t>
  </si>
  <si>
    <t>SAB_#3 METAL O/E NICKEL_MLB TRAPEZOID</t>
    <phoneticPr fontId="1" type="noConversion"/>
  </si>
  <si>
    <t>이토추</t>
    <phoneticPr fontId="1" type="noConversion"/>
  </si>
  <si>
    <t>PALMA</t>
    <phoneticPr fontId="1" type="noConversion"/>
  </si>
  <si>
    <t>3AWJM0551</t>
  </si>
  <si>
    <t>이토추</t>
  </si>
  <si>
    <t>FELICE</t>
  </si>
  <si>
    <t>TPU Lamination</t>
  </si>
  <si>
    <t>SAB_VS WR_#3 O/E_MLB RECTANGULAR</t>
    <phoneticPr fontId="1" type="noConversion"/>
  </si>
  <si>
    <t>WP</t>
  </si>
  <si>
    <t>TONGFA</t>
    <phoneticPr fontId="1" type="noConversion"/>
  </si>
  <si>
    <t>3FKCB0351</t>
  </si>
  <si>
    <t>DONGGUAN TONGFA KNITWEARS CO., LTD.</t>
  </si>
  <si>
    <t>25SS 2/32NM C_TONGFA</t>
  </si>
  <si>
    <t>100% Cotton</t>
  </si>
  <si>
    <t>X</t>
    <phoneticPr fontId="1" type="noConversion"/>
  </si>
  <si>
    <t>SBS_VS_#3 2-WAY O/E TRIANGLE TEETH_MLB RECTANGULAR</t>
  </si>
  <si>
    <t>Lv 3</t>
  </si>
  <si>
    <t>TONGFA</t>
  </si>
  <si>
    <t>3FKCV0351</t>
  </si>
  <si>
    <t>25SS 2/40'S MOD/C_TONGFA</t>
  </si>
  <si>
    <t>50% Modal, 50% Cotton</t>
  </si>
  <si>
    <t>SBS_VS_#3 O/E TRIANGLE TEETH_MLB RECTANGULAR</t>
    <phoneticPr fontId="1" type="noConversion"/>
  </si>
  <si>
    <t>Lv 5</t>
  </si>
  <si>
    <t>25FW</t>
    <phoneticPr fontId="1" type="noConversion"/>
  </si>
  <si>
    <t>ESQUEL</t>
    <phoneticPr fontId="1" type="noConversion"/>
  </si>
  <si>
    <t>3ATRB0554</t>
  </si>
  <si>
    <t>ESQUEL</t>
  </si>
  <si>
    <t>RODEO_DYEING</t>
  </si>
  <si>
    <t>90% Cotton, 10% Polyester(Sorona)</t>
  </si>
  <si>
    <t>Soft Finish</t>
  </si>
  <si>
    <t>SBS_VS_#5 2-WAY O/E TRIANGLE TEETH_MLB RECTANGULAR_SEMI AUTO</t>
    <phoneticPr fontId="1" type="noConversion"/>
  </si>
  <si>
    <t>팬코</t>
    <phoneticPr fontId="1" type="noConversion"/>
  </si>
  <si>
    <t>꽝남</t>
    <phoneticPr fontId="1" type="noConversion"/>
  </si>
  <si>
    <t>3ATRB0454</t>
  </si>
  <si>
    <t>JIANANDA</t>
  </si>
  <si>
    <t>EDWARD</t>
  </si>
  <si>
    <t>86% Cotton, 14% Polyester(Sorona)</t>
  </si>
  <si>
    <t>enzyme wash</t>
  </si>
  <si>
    <t>SBS_METAL_#5 2-WAY O/E _MLB RECTANGULAR_SEMI AUTO</t>
  </si>
  <si>
    <t>3FTRV0154</t>
  </si>
  <si>
    <t>PANKO</t>
  </si>
  <si>
    <t>RACHEL</t>
  </si>
  <si>
    <t>55% Polyester, 37% Cotton, 8% Spandex</t>
  </si>
  <si>
    <t>Enzyme + Tenter + Compact</t>
  </si>
  <si>
    <t>SBS_METAL_#3 2-WAY O/E_MLB TRAPEZOID_SEMI AUTO</t>
    <phoneticPr fontId="1" type="noConversion"/>
  </si>
  <si>
    <t>3FTRB1356</t>
  </si>
  <si>
    <t>OPERA</t>
  </si>
  <si>
    <t>92% Polyester, 8% Polyurethane</t>
  </si>
  <si>
    <t>Brushed</t>
  </si>
  <si>
    <t>SBS_VS_#3 2-WAY O/E TRIANGLE TEETH_MLB RECTANGULAR_SEMI AUTO</t>
    <phoneticPr fontId="1" type="noConversion"/>
  </si>
  <si>
    <t>25FW</t>
  </si>
  <si>
    <t>PUKU2</t>
    <phoneticPr fontId="1" type="noConversion"/>
  </si>
  <si>
    <t>3ATRB0154</t>
  </si>
  <si>
    <t>NOBLAND</t>
  </si>
  <si>
    <t>DESTINY_CO-CRE</t>
  </si>
  <si>
    <t>83% Cotton, 17% Sorona</t>
  </si>
  <si>
    <t>Tenter</t>
  </si>
  <si>
    <t>SBS_VS_#3 2-WAY O/E TRIANGLE TEETH_MLB
RECTANGULAR_SEMI AUTO</t>
    <phoneticPr fontId="1" type="noConversion"/>
  </si>
  <si>
    <t>지퍼 꿀렁임 심함</t>
    <phoneticPr fontId="1" type="noConversion"/>
  </si>
  <si>
    <t>한솔</t>
    <phoneticPr fontId="1" type="noConversion"/>
  </si>
  <si>
    <t>HANDSOME</t>
    <phoneticPr fontId="1" type="noConversion"/>
  </si>
  <si>
    <t>3FTRB0454</t>
    <phoneticPr fontId="1" type="noConversion"/>
  </si>
  <si>
    <t>PANSY</t>
  </si>
  <si>
    <t>68% Cotton, 29% Rayon, 3% Spandex</t>
  </si>
  <si>
    <t>3FTRB0254</t>
  </si>
  <si>
    <t>CF 스티치 퍼커링</t>
    <phoneticPr fontId="1" type="noConversion"/>
  </si>
  <si>
    <t>에이스</t>
    <phoneticPr fontId="1" type="noConversion"/>
  </si>
  <si>
    <t>에이스비나</t>
    <phoneticPr fontId="1" type="noConversion"/>
  </si>
  <si>
    <t>3AFDB0456</t>
  </si>
  <si>
    <t>에이스</t>
  </si>
  <si>
    <t>PASSAT_PRINT</t>
  </si>
  <si>
    <t>100% Polyester</t>
  </si>
  <si>
    <t>Tumble + Tenter</t>
  </si>
  <si>
    <t>SAB_#5 VISLON O/E TRIANGLE TEETH_MLB
TRAPEZOID</t>
    <phoneticPr fontId="1" type="noConversion"/>
  </si>
  <si>
    <t>앞 지퍼 퍼커링 / 꿀렁임</t>
    <phoneticPr fontId="1" type="noConversion"/>
  </si>
  <si>
    <t>3FWJV0154</t>
    <phoneticPr fontId="1" type="noConversion"/>
  </si>
  <si>
    <t>TAIHUA</t>
  </si>
  <si>
    <t>MASON</t>
  </si>
  <si>
    <t>93% Nylon, 7% Polyurethane</t>
  </si>
  <si>
    <t>Wicking + Quick Dry + UV</t>
  </si>
  <si>
    <t>앞지퍼 이새 몰림</t>
    <phoneticPr fontId="1" type="noConversion"/>
  </si>
  <si>
    <t>M GFT</t>
  </si>
  <si>
    <t>3ADJB2656</t>
  </si>
  <si>
    <t>BANG</t>
  </si>
  <si>
    <t>Cire</t>
  </si>
  <si>
    <t>SAB_VS_#5 2-WAY O/E TRIANGLE
TEETH_MLB RECTANGULAR_SEMI AUTO</t>
    <phoneticPr fontId="1" type="noConversion"/>
  </si>
  <si>
    <t>KORACE</t>
    <phoneticPr fontId="1" type="noConversion"/>
  </si>
  <si>
    <t>3ADJB1356</t>
  </si>
  <si>
    <t>원창</t>
  </si>
  <si>
    <t>LUCA</t>
  </si>
  <si>
    <t>100% Nylon(Recycle)</t>
  </si>
  <si>
    <t>WR + Cire</t>
  </si>
  <si>
    <t>SAB_#5 VISLON O/E TRIANGLE TEETH_MLB RECTANGULAR_SEMI
AUTO</t>
    <phoneticPr fontId="1" type="noConversion"/>
  </si>
  <si>
    <t>앞지퍼 꿀렁임</t>
    <phoneticPr fontId="1" type="noConversion"/>
  </si>
  <si>
    <t>3FDJB0556</t>
  </si>
  <si>
    <t>기도산업</t>
  </si>
  <si>
    <t>PLANET</t>
  </si>
  <si>
    <t>WR + Lamination</t>
  </si>
  <si>
    <t>SAB_VS_#3 O/E TRIANGLE TEETH_MLB RECTANGULAR_SEMI
AUTO</t>
    <phoneticPr fontId="1" type="noConversion"/>
  </si>
  <si>
    <t>앞 지퍼 꿀렁임
앞 지퍼 따라 몸판 당김 / 이새 몰림</t>
    <phoneticPr fontId="1" type="noConversion"/>
  </si>
  <si>
    <t>3ADVB0456</t>
  </si>
  <si>
    <t>ASTER</t>
  </si>
  <si>
    <t>WR + 2L</t>
  </si>
  <si>
    <t>SAB_VS_#5 O/E TRIANGLE TEETH_MLB RECTANGULAR_SEMI AUTO</t>
  </si>
  <si>
    <t>지퍼 퍼커링</t>
    <phoneticPr fontId="1" type="noConversion"/>
  </si>
  <si>
    <t>OPAL</t>
    <phoneticPr fontId="1" type="noConversion"/>
  </si>
  <si>
    <t>3ADVB0256</t>
  </si>
  <si>
    <t>네오드림</t>
  </si>
  <si>
    <t>TONY</t>
  </si>
  <si>
    <t>DWR + 2-Layer</t>
  </si>
  <si>
    <t>SAB_VS_#5 O/E TRIANGLE TEETH_HOOK</t>
    <phoneticPr fontId="1" type="noConversion"/>
  </si>
  <si>
    <t>앞 지퍼 &amp; 가슴지퍼 꿀렁임</t>
    <phoneticPr fontId="1" type="noConversion"/>
  </si>
  <si>
    <t>3FDJB0256</t>
  </si>
  <si>
    <t>CLAIR</t>
  </si>
  <si>
    <t>SAB_VS_#3 O/E REVERSE_MLB
DALH</t>
    <phoneticPr fontId="1" type="noConversion"/>
  </si>
  <si>
    <t>지퍼 꿀렁임
지퍼 쪽 몸판 당김</t>
    <phoneticPr fontId="1" type="noConversion"/>
  </si>
  <si>
    <t>3FDJM0156</t>
  </si>
  <si>
    <t>PRIME_CLASSIC_DTP</t>
  </si>
  <si>
    <t>WR + Print + Cire</t>
  </si>
  <si>
    <t>앞 지퍼 꿀렁임</t>
    <phoneticPr fontId="1" type="noConversion"/>
  </si>
  <si>
    <t>3AWJV0354</t>
  </si>
  <si>
    <t>영텍스</t>
  </si>
  <si>
    <t>JEFF_DTP</t>
  </si>
  <si>
    <t>WR + Print</t>
  </si>
  <si>
    <t>3AWJB9054</t>
  </si>
  <si>
    <t>GORETEX</t>
  </si>
  <si>
    <t>GORE_WIND</t>
  </si>
  <si>
    <t>100% Polyester(Recycle)</t>
  </si>
  <si>
    <t>2-Layer</t>
  </si>
  <si>
    <t>SAB_NY WR_#5 O/E REVERSE_MLB DALH</t>
    <phoneticPr fontId="1" type="noConversion"/>
  </si>
  <si>
    <t>앞 지퍼 이새몰림</t>
    <phoneticPr fontId="1" type="noConversion"/>
  </si>
  <si>
    <t>GORI</t>
    <phoneticPr fontId="1" type="noConversion"/>
  </si>
  <si>
    <t>3APDB0356</t>
  </si>
  <si>
    <t>SAB_VS_#5 2-WAY O/E TRIANGLE
TEETH_MLB RECTANGULAR_SEMI
AUTO</t>
    <phoneticPr fontId="1" type="noConversion"/>
  </si>
  <si>
    <t>BEEAHN</t>
    <phoneticPr fontId="1" type="noConversion"/>
  </si>
  <si>
    <t>3AWJB0554</t>
  </si>
  <si>
    <t>SOPHIA</t>
  </si>
  <si>
    <t>SAB_NY_#5 O/E REVERSE_MLB DALH</t>
    <phoneticPr fontId="1" type="noConversion"/>
  </si>
  <si>
    <t>지퍼 이새 몰림</t>
    <phoneticPr fontId="1" type="noConversion"/>
  </si>
  <si>
    <t>VNC</t>
  </si>
  <si>
    <t>3AJPB0154</t>
  </si>
  <si>
    <t>TYCAN_WASHING</t>
  </si>
  <si>
    <t>98% Cotton, 2% Spandex</t>
  </si>
  <si>
    <t>SAB_#5 METAL O/E NICKEL_MLB RECTANGULAR</t>
    <phoneticPr fontId="1" type="noConversion"/>
  </si>
  <si>
    <t>TMMI/YNC</t>
  </si>
  <si>
    <t>3ADJB2056</t>
  </si>
  <si>
    <t>LEADER</t>
  </si>
  <si>
    <t>DWR + Lamination</t>
  </si>
  <si>
    <t>SAB_#5 VISLON O/E TRIANGLE TEETH_MLB RECTANGULAR_SEMI AUTO</t>
  </si>
  <si>
    <t>앞 지퍼 꿀렁임
지퍼 꼬임</t>
    <phoneticPr fontId="1" type="noConversion"/>
  </si>
  <si>
    <t>3FDJB2056</t>
  </si>
  <si>
    <t>SAB_VS_#3 2-WAY O/E TRIANGLE TEETH_MLB RECTANGULAR</t>
    <phoneticPr fontId="1" type="noConversion"/>
  </si>
  <si>
    <t>G&amp;P대성</t>
    <phoneticPr fontId="1" type="noConversion"/>
  </si>
  <si>
    <t>3FDJB0456</t>
  </si>
  <si>
    <t>HELEN</t>
  </si>
  <si>
    <t>95% Nylon, 5% Polyurethane</t>
  </si>
  <si>
    <t>SAB_#3 VISLON O/E TRIANGLE TEETH_MLB RECTANGULAR_SEMI AUTO</t>
    <phoneticPr fontId="1" type="noConversion"/>
  </si>
  <si>
    <t>지퍼 꿀렁임/찝힘</t>
    <phoneticPr fontId="1" type="noConversion"/>
  </si>
  <si>
    <t>3FDJB4156</t>
  </si>
  <si>
    <t>SAB_#3 VISLON O/E TRIANGLE TEETH_MLB RECTANGULAR_SEMI
AUTO</t>
    <phoneticPr fontId="1" type="noConversion"/>
  </si>
  <si>
    <r>
      <rPr>
        <sz val="16"/>
        <color rgb="FF000000"/>
        <rFont val="Microsoft YaHei"/>
        <family val="2"/>
        <charset val="134"/>
      </rPr>
      <t>3</t>
    </r>
    <r>
      <rPr>
        <sz val="16"/>
        <color rgb="FF000000"/>
        <rFont val="맑은 고딕"/>
        <family val="2"/>
        <scheme val="minor"/>
      </rPr>
      <t>ADJB0856</t>
    </r>
  </si>
  <si>
    <r>
      <rPr>
        <sz val="16"/>
        <color rgb="FF000000"/>
        <rFont val="Microsoft YaHei"/>
        <family val="2"/>
        <charset val="134"/>
      </rPr>
      <t>3</t>
    </r>
    <r>
      <rPr>
        <sz val="16"/>
        <color rgb="FF000000"/>
        <rFont val="맑은 고딕"/>
        <family val="2"/>
        <scheme val="minor"/>
      </rPr>
      <t>ADJB2156</t>
    </r>
  </si>
  <si>
    <t>LEICESTER</t>
  </si>
  <si>
    <t>SAB_NY_#5 2-WAY O/E REVERSE_MLB RECTANGULAR</t>
    <phoneticPr fontId="1" type="noConversion"/>
  </si>
  <si>
    <t>지퍼 옆 비리짐/ 꿀렁임</t>
    <phoneticPr fontId="1" type="noConversion"/>
  </si>
  <si>
    <t>원전</t>
    <phoneticPr fontId="1" type="noConversion"/>
  </si>
  <si>
    <t>인도마트라</t>
    <phoneticPr fontId="1" type="noConversion"/>
  </si>
  <si>
    <t>3ADJV0156</t>
  </si>
  <si>
    <t>FNTS</t>
  </si>
  <si>
    <t>HONEY10</t>
  </si>
  <si>
    <t>SAB_#5 VISLON C/E TRIANGLE TEETH_MLB RECTANGULAR_SEMI
AUTO</t>
    <phoneticPr fontId="1" type="noConversion"/>
  </si>
  <si>
    <t>LOTO</t>
    <phoneticPr fontId="1" type="noConversion"/>
  </si>
  <si>
    <t>3FDJM0356</t>
  </si>
  <si>
    <t>화수</t>
  </si>
  <si>
    <t>VERONA EMBO_DIA</t>
  </si>
  <si>
    <t>V.V</t>
  </si>
  <si>
    <t>3ADJM0856</t>
  </si>
  <si>
    <t>VITO_CLASSIC</t>
  </si>
  <si>
    <t>WR 3D Effect</t>
  </si>
  <si>
    <t>지퍼 꿀렁임
포켓 지퍼 엣지 보조개 짐</t>
    <phoneticPr fontId="1" type="noConversion"/>
  </si>
  <si>
    <t>3FWJB0454</t>
  </si>
  <si>
    <t>SANFU</t>
  </si>
  <si>
    <t>CHEKI_SOLID</t>
  </si>
  <si>
    <t>Crinkle + WR</t>
  </si>
  <si>
    <t>사이바 라인 퍼커링
앞 지퍼 퍼커링,이새몰림</t>
    <phoneticPr fontId="1" type="noConversion"/>
  </si>
  <si>
    <t>ECOPEL</t>
    <phoneticPr fontId="1" type="noConversion"/>
  </si>
  <si>
    <t>3AJPB0654</t>
  </si>
  <si>
    <t>ARTE</t>
  </si>
  <si>
    <t>100% Polyurethane</t>
  </si>
  <si>
    <t>Hydrolysis Resistant</t>
  </si>
  <si>
    <t>SAB_#5 METAL C/E NICKEL_MLB RECTANGUL</t>
    <phoneticPr fontId="1" type="noConversion"/>
  </si>
  <si>
    <t>앞/뒤 이새 몰림</t>
    <phoneticPr fontId="1" type="noConversion"/>
  </si>
  <si>
    <t xml:space="preserve">ANH TOAN </t>
    <phoneticPr fontId="1" type="noConversion"/>
  </si>
  <si>
    <t>3AWJB0154</t>
  </si>
  <si>
    <t>SOPHIA_LAYER</t>
  </si>
  <si>
    <t>WR + TPU Lamination</t>
  </si>
  <si>
    <t>SAB_#5 VISLON O/E TRIANGLE TEETH_MLB
RECTANGULAR_SEMI AUTO</t>
    <phoneticPr fontId="1" type="noConversion"/>
  </si>
  <si>
    <t>MAREEP</t>
    <phoneticPr fontId="1" type="noConversion"/>
  </si>
  <si>
    <t>3ADJB0156</t>
  </si>
  <si>
    <t>SIMONE</t>
  </si>
  <si>
    <t>앞 지퍼 이새 몰림</t>
    <phoneticPr fontId="1" type="noConversion"/>
  </si>
  <si>
    <t>무브</t>
    <phoneticPr fontId="1" type="noConversion"/>
  </si>
  <si>
    <t>무브비나</t>
    <phoneticPr fontId="1" type="noConversion"/>
  </si>
  <si>
    <t>3ADVB0156</t>
  </si>
  <si>
    <t>SAB_VS WR_#5 O/E TRIANGLE TEETH_MLB DALH</t>
    <phoneticPr fontId="1" type="noConversion"/>
  </si>
  <si>
    <t xml:space="preserve"> 앞 지퍼 꿀렁임</t>
    <phoneticPr fontId="1" type="noConversion"/>
  </si>
  <si>
    <t>3AJPB0254</t>
  </si>
  <si>
    <t>OPRAH</t>
  </si>
  <si>
    <t>SAB_#5 METAL C/E NICKEL_MLB RECTANGULAR</t>
    <phoneticPr fontId="1" type="noConversion"/>
  </si>
  <si>
    <t>주머니지퍼 꿀렁거림
앞지퍼 꿀렁거림</t>
    <phoneticPr fontId="1" type="noConversion"/>
  </si>
  <si>
    <t>3FDJB4056</t>
  </si>
  <si>
    <t>26STORY</t>
  </si>
  <si>
    <t>HEYNE</t>
  </si>
  <si>
    <t>PU Lamination</t>
  </si>
  <si>
    <t>3FKCB0454</t>
  </si>
  <si>
    <t>25FW 2/45NM W/N/AC_TONGFA</t>
  </si>
  <si>
    <t>50% Wool, 30% Nylon, 20% Acrylic</t>
  </si>
  <si>
    <t>26SS</t>
    <phoneticPr fontId="1" type="noConversion"/>
  </si>
  <si>
    <t>3FTRV1161</t>
  </si>
  <si>
    <t>PANKO</t>
    <phoneticPr fontId="1" type="noConversion"/>
  </si>
  <si>
    <t>SAMUEL</t>
    <phoneticPr fontId="1" type="noConversion"/>
  </si>
  <si>
    <t>50% Cotton, 45% Polyester, 5% Polyurethane</t>
    <phoneticPr fontId="1" type="noConversion"/>
  </si>
  <si>
    <t>Enzyme + Tenter</t>
    <phoneticPr fontId="1" type="noConversion"/>
  </si>
  <si>
    <t>이새몰림
지퍼 짧아서 당김</t>
    <phoneticPr fontId="1" type="noConversion"/>
  </si>
  <si>
    <t>3ATRB0361</t>
    <phoneticPr fontId="1" type="noConversion"/>
  </si>
  <si>
    <t>G.CHEMI</t>
    <phoneticPr fontId="1" type="noConversion"/>
  </si>
  <si>
    <t>SANTOS</t>
    <phoneticPr fontId="1" type="noConversion"/>
  </si>
  <si>
    <t>86% Cotton, 14% Polyester(Sorona)</t>
    <phoneticPr fontId="1" type="noConversion"/>
  </si>
  <si>
    <t>NBVO 2F</t>
    <phoneticPr fontId="1" type="noConversion"/>
  </si>
  <si>
    <t>3FTRV1261</t>
    <phoneticPr fontId="1" type="noConversion"/>
  </si>
  <si>
    <t>JIANANDA</t>
    <phoneticPr fontId="1" type="noConversion"/>
  </si>
  <si>
    <t>ISABEL</t>
    <phoneticPr fontId="1" type="noConversion"/>
  </si>
  <si>
    <t>73% Cotton, 27% Polyester</t>
    <phoneticPr fontId="1" type="noConversion"/>
  </si>
  <si>
    <t>Enzyme Wash</t>
    <phoneticPr fontId="1" type="noConversion"/>
  </si>
  <si>
    <t>ALL GREEN</t>
    <phoneticPr fontId="1" type="noConversion"/>
  </si>
  <si>
    <t>3FTRB1161</t>
    <phoneticPr fontId="1" type="noConversion"/>
  </si>
  <si>
    <t>SELENA</t>
    <phoneticPr fontId="1" type="noConversion"/>
  </si>
  <si>
    <t>48% Cotton, 48% Modal, 4% Spandex</t>
    <phoneticPr fontId="1" type="noConversion"/>
  </si>
  <si>
    <t>SBS_VS_#3 2-WAY O/E TRIANGLE TEETH_MLB RECTANGULAR_SEMI
AUTO</t>
    <phoneticPr fontId="1" type="noConversion"/>
  </si>
  <si>
    <t>앞마이 이새몰림</t>
    <phoneticPr fontId="1" type="noConversion"/>
  </si>
  <si>
    <t>3FWJB0363</t>
    <phoneticPr fontId="1" type="noConversion"/>
  </si>
  <si>
    <t>SANFU</t>
    <phoneticPr fontId="1" type="noConversion"/>
  </si>
  <si>
    <t>GOLDFISH</t>
    <phoneticPr fontId="1" type="noConversion"/>
  </si>
  <si>
    <t>100% Nylon</t>
    <phoneticPr fontId="1" type="noConversion"/>
  </si>
  <si>
    <t>Crinkle + WR</t>
    <phoneticPr fontId="1" type="noConversion"/>
  </si>
  <si>
    <t>지퍼 웨이브 및 상단 휨
지퍼 휘어짐</t>
    <phoneticPr fontId="1" type="noConversion"/>
  </si>
  <si>
    <t>KD YANGON</t>
    <phoneticPr fontId="1" type="noConversion"/>
  </si>
  <si>
    <t>3AWJB9161</t>
    <phoneticPr fontId="1" type="noConversion"/>
  </si>
  <si>
    <t>GORETEX</t>
    <phoneticPr fontId="1" type="noConversion"/>
  </si>
  <si>
    <t>GORE_STORM</t>
    <phoneticPr fontId="1" type="noConversion"/>
  </si>
  <si>
    <t>100% Polyester</t>
    <phoneticPr fontId="1" type="noConversion"/>
  </si>
  <si>
    <t>2-Layer</t>
    <phoneticPr fontId="1" type="noConversion"/>
  </si>
  <si>
    <t>앞지퍼 뻗침, 웨이브</t>
    <phoneticPr fontId="1" type="noConversion"/>
  </si>
  <si>
    <t>3FWJB0763</t>
    <phoneticPr fontId="1" type="noConversion"/>
  </si>
  <si>
    <t>KIDO</t>
    <phoneticPr fontId="1" type="noConversion"/>
  </si>
  <si>
    <t>SPARKLE</t>
    <phoneticPr fontId="1" type="noConversion"/>
  </si>
  <si>
    <t>Cire</t>
    <phoneticPr fontId="1" type="noConversion"/>
  </si>
  <si>
    <t>앞지퍼 웨이브, 이세몰림</t>
    <phoneticPr fontId="1" type="noConversion"/>
  </si>
  <si>
    <t>3AWJB0361</t>
    <phoneticPr fontId="1" type="noConversion"/>
  </si>
  <si>
    <t>TAIHUA</t>
    <phoneticPr fontId="1" type="noConversion"/>
  </si>
  <si>
    <t>SOPHIA_LAYER</t>
    <phoneticPr fontId="1" type="noConversion"/>
  </si>
  <si>
    <t>WR + TPU Lamination</t>
    <phoneticPr fontId="1" type="noConversion"/>
  </si>
  <si>
    <t>SAB_VS_#5 O/E TRIANGLE TEETH_HOOK</t>
  </si>
  <si>
    <t>앞지퍼 이새 좌우 다름</t>
    <phoneticPr fontId="1" type="noConversion"/>
  </si>
  <si>
    <t>3AWJB0463</t>
    <phoneticPr fontId="1" type="noConversion"/>
  </si>
  <si>
    <t>JUSTSUN</t>
    <phoneticPr fontId="1" type="noConversion"/>
  </si>
  <si>
    <t>CHURROS</t>
    <phoneticPr fontId="1" type="noConversion"/>
  </si>
  <si>
    <t>94% Nylon, 6% Spandex</t>
    <phoneticPr fontId="1" type="noConversion"/>
  </si>
  <si>
    <t>WR</t>
    <phoneticPr fontId="1" type="noConversion"/>
  </si>
  <si>
    <t>SAB_NY_#3 O/E REVERSE_MLB DALH</t>
  </si>
  <si>
    <t>지퍼 웨이브  / 이새</t>
    <phoneticPr fontId="1" type="noConversion"/>
  </si>
  <si>
    <t>3AJPB0461</t>
    <phoneticPr fontId="1" type="noConversion"/>
  </si>
  <si>
    <t>ITOCHU</t>
    <phoneticPr fontId="1" type="noConversion"/>
  </si>
  <si>
    <t>ANKARA</t>
    <phoneticPr fontId="1" type="noConversion"/>
  </si>
  <si>
    <t>100% Polyurethane</t>
    <phoneticPr fontId="1" type="noConversion"/>
  </si>
  <si>
    <t>Hydrolysis Resistant</t>
    <phoneticPr fontId="1" type="noConversion"/>
  </si>
  <si>
    <t>SAB_METAL_#5 O/E_MLB RECTANGULAR</t>
    <phoneticPr fontId="1" type="noConversion"/>
  </si>
  <si>
    <t>앞 지퍼 꿀렁임 / 이새</t>
    <phoneticPr fontId="1" type="noConversion"/>
  </si>
  <si>
    <t>TMMI</t>
  </si>
  <si>
    <t>3AWJB0563</t>
    <phoneticPr fontId="1" type="noConversion"/>
  </si>
  <si>
    <t>LAYZ</t>
    <phoneticPr fontId="1" type="noConversion"/>
  </si>
  <si>
    <t>SAB_NY_#3 C/E REVERSE_MLB DALH</t>
    <phoneticPr fontId="1" type="noConversion"/>
  </si>
  <si>
    <t xml:space="preserve"> 사이드 지퍼 꿀렁임,이새몰림</t>
  </si>
  <si>
    <t>3AWJV0363</t>
    <phoneticPr fontId="1" type="noConversion"/>
  </si>
  <si>
    <t>DOONLY</t>
    <phoneticPr fontId="1" type="noConversion"/>
  </si>
  <si>
    <t>MILKY</t>
    <phoneticPr fontId="1" type="noConversion"/>
  </si>
  <si>
    <t>앞지퍼 꿀렁거림 이새몰림</t>
    <phoneticPr fontId="1" type="noConversion"/>
  </si>
  <si>
    <t>3FJPB0461</t>
    <phoneticPr fontId="1" type="noConversion"/>
  </si>
  <si>
    <t>SAB_METAL_#3 2-WAY O/E_MLB RECTANGULAR</t>
  </si>
  <si>
    <t>3AJPB0161</t>
    <phoneticPr fontId="1" type="noConversion"/>
  </si>
  <si>
    <t>NADIA</t>
    <phoneticPr fontId="1" type="noConversion"/>
  </si>
  <si>
    <t>TOBINI_WASHING</t>
    <phoneticPr fontId="1" type="noConversion"/>
  </si>
  <si>
    <t>66% Cotton, 34% Polyester</t>
    <phoneticPr fontId="1" type="noConversion"/>
  </si>
  <si>
    <t>None</t>
    <phoneticPr fontId="1" type="noConversion"/>
  </si>
  <si>
    <t>앞지퍼 꿀렁임, 이새몰림</t>
    <phoneticPr fontId="1" type="noConversion"/>
  </si>
  <si>
    <t>3AJPB0661</t>
    <phoneticPr fontId="1" type="noConversion"/>
  </si>
  <si>
    <t>TINIAN_WASHING</t>
    <phoneticPr fontId="1" type="noConversion"/>
  </si>
  <si>
    <t>98% Cotton, 2% Spandex</t>
    <phoneticPr fontId="1" type="noConversion"/>
  </si>
  <si>
    <t>앞지퍼 퍼커링 / 웨이브
(워싱)</t>
    <phoneticPr fontId="1" type="noConversion"/>
  </si>
  <si>
    <t>3FWJV0363</t>
    <phoneticPr fontId="1" type="noConversion"/>
  </si>
  <si>
    <t>ONECHANG</t>
    <phoneticPr fontId="1" type="noConversion"/>
  </si>
  <si>
    <t>TOFFEE</t>
    <phoneticPr fontId="1" type="noConversion"/>
  </si>
  <si>
    <t>WR + UV</t>
    <phoneticPr fontId="1" type="noConversion"/>
  </si>
  <si>
    <t>앞지퍼 웨이브 / 이새 (매직원단)</t>
    <phoneticPr fontId="1" type="noConversion"/>
  </si>
  <si>
    <t>VTN</t>
    <phoneticPr fontId="1" type="noConversion"/>
  </si>
  <si>
    <t>3FWJB0163</t>
    <phoneticPr fontId="1" type="noConversion"/>
  </si>
  <si>
    <t>SAB_NY_#3 O/E REVERSE_MLB DALH</t>
    <phoneticPr fontId="1" type="noConversion"/>
  </si>
  <si>
    <t>앞지퍼 웨이브</t>
    <phoneticPr fontId="1" type="noConversion"/>
  </si>
  <si>
    <t>1공장</t>
    <phoneticPr fontId="1" type="noConversion"/>
  </si>
  <si>
    <t>3FJPB0361</t>
    <phoneticPr fontId="1" type="noConversion"/>
  </si>
  <si>
    <t>YOUNGTEXTILE</t>
    <phoneticPr fontId="1" type="noConversion"/>
  </si>
  <si>
    <t>OTIS</t>
    <phoneticPr fontId="1" type="noConversion"/>
  </si>
  <si>
    <t>WR + Cire</t>
    <phoneticPr fontId="1" type="noConversion"/>
  </si>
  <si>
    <t>SAB_METAL_#5 2-WAY O/E_MLB RECTANGULAR</t>
    <phoneticPr fontId="1" type="noConversion"/>
  </si>
  <si>
    <t>3AWJB0961</t>
    <phoneticPr fontId="1" type="noConversion"/>
  </si>
  <si>
    <t>TAERA</t>
    <phoneticPr fontId="1" type="noConversion"/>
  </si>
  <si>
    <t>AIRY</t>
    <phoneticPr fontId="1" type="noConversion"/>
  </si>
  <si>
    <t>WR + PA Coating</t>
    <phoneticPr fontId="1" type="noConversion"/>
  </si>
  <si>
    <t>SAB_NY_#5 O/E REVERSE_MLB DALH</t>
  </si>
  <si>
    <t>OUTIN</t>
    <phoneticPr fontId="1" type="noConversion"/>
  </si>
  <si>
    <t>3FKCB0261</t>
  </si>
  <si>
    <t>DONGGUAN OUTIN TRADE Co., LTD</t>
  </si>
  <si>
    <t>26SS 2/68NM VI/P_OUTIN</t>
  </si>
  <si>
    <t>62% Viscose, 38% Polyester</t>
    <phoneticPr fontId="1" type="noConversion"/>
  </si>
  <si>
    <t>앞 지퍼 웨이브</t>
    <phoneticPr fontId="1" type="noConversion"/>
  </si>
  <si>
    <t>원단명</t>
  </si>
  <si>
    <t>혼용률</t>
  </si>
  <si>
    <t>중량</t>
  </si>
  <si>
    <t>대분류</t>
    <phoneticPr fontId="1" type="noConversion"/>
  </si>
  <si>
    <t>소분류</t>
    <phoneticPr fontId="1" type="noConversion"/>
  </si>
  <si>
    <t>봉제코드</t>
    <phoneticPr fontId="1" type="noConversion"/>
  </si>
  <si>
    <t>재원단 카라</t>
  </si>
  <si>
    <t>카라 놓임 불량</t>
  </si>
  <si>
    <t>대분류 (Category)</t>
  </si>
  <si>
    <t>테잎</t>
  </si>
  <si>
    <t>사이드포켓 안쪽 테이프 꿀렁임</t>
  </si>
  <si>
    <t>우븐</t>
    <phoneticPr fontId="1" type="noConversion"/>
  </si>
  <si>
    <t>TEXWINCA</t>
  </si>
  <si>
    <t>RUSH</t>
  </si>
  <si>
    <t>53% Polyester, 38% Modal, 9% Spandex</t>
  </si>
  <si>
    <t>가이루빠</t>
  </si>
  <si>
    <t>라글란</t>
  </si>
  <si>
    <t>CUT</t>
  </si>
  <si>
    <t>라운드 포켓</t>
  </si>
  <si>
    <t>한솔</t>
  </si>
  <si>
    <t>플라켓</t>
  </si>
  <si>
    <t>플라켓 꼬임, 벌어짐</t>
  </si>
  <si>
    <t>약진</t>
  </si>
  <si>
    <t>뒤 요크 이새 몰림</t>
  </si>
  <si>
    <t>구찌</t>
  </si>
  <si>
    <t>뒤 사각포켓 비리짐</t>
  </si>
  <si>
    <t>카고포켓</t>
  </si>
  <si>
    <t>후다 안 덮힘</t>
  </si>
  <si>
    <t>GRACE</t>
  </si>
  <si>
    <t>13.8% Cotton, 84% Polyester, 2.2% Spandex</t>
  </si>
  <si>
    <t>Enzyme Wash</t>
  </si>
  <si>
    <t>단추</t>
  </si>
  <si>
    <t>앞 단작 꿀렁임</t>
  </si>
  <si>
    <t>기도</t>
  </si>
  <si>
    <t>구찌 퍼커링</t>
  </si>
  <si>
    <t>대웅</t>
  </si>
  <si>
    <t>MOJITTO</t>
  </si>
  <si>
    <t>87% Nylon, 13% Polyurethane</t>
  </si>
  <si>
    <t>나디아</t>
  </si>
  <si>
    <t>플라켓 김</t>
  </si>
  <si>
    <t>후다</t>
  </si>
  <si>
    <t>사이드 포켓 입구 꼬임</t>
  </si>
  <si>
    <t>전체 패널 퍼커링</t>
  </si>
  <si>
    <t>원전</t>
  </si>
  <si>
    <t>아웃포켓 상태 불량</t>
  </si>
  <si>
    <t>포마트</t>
  </si>
  <si>
    <t>플라켓 상태 불량</t>
  </si>
  <si>
    <t>CHORE</t>
  </si>
  <si>
    <t>96% Nylon, 4% Spandex</t>
  </si>
  <si>
    <t>아웃포켓</t>
  </si>
  <si>
    <t>무브</t>
  </si>
  <si>
    <t xml:space="preserve">FENG YIN </t>
  </si>
  <si>
    <t>LYON</t>
  </si>
  <si>
    <t>23% Wool, 41% Polyester, 36% Acrylic</t>
  </si>
  <si>
    <t>Needling + Shearing + Steaming</t>
  </si>
  <si>
    <t>AMGMV</t>
  </si>
  <si>
    <t>ADVANCE DENIM</t>
  </si>
  <si>
    <t>QA017-53</t>
  </si>
  <si>
    <t>Desizing</t>
  </si>
  <si>
    <t>주식회사 에이엠지엠브이</t>
  </si>
  <si>
    <t>#5972</t>
  </si>
  <si>
    <t>84% Cotton, 13% Polyester, 3% Rayon</t>
  </si>
  <si>
    <t>뒷요크</t>
  </si>
  <si>
    <t>요크 꼬임</t>
  </si>
  <si>
    <t>SHUNTEX</t>
  </si>
  <si>
    <t>QE499V8-2</t>
  </si>
  <si>
    <t>QA352V8-11</t>
  </si>
  <si>
    <t>QT1010E1-27</t>
  </si>
  <si>
    <t>BLUE</t>
  </si>
  <si>
    <t>노브랜드</t>
  </si>
  <si>
    <t>CUBA_DYEING</t>
  </si>
  <si>
    <t>Bleach</t>
  </si>
  <si>
    <t>VANESSA</t>
  </si>
  <si>
    <t>87% Cotton, 11% Nylon, 2% Polyurethane</t>
  </si>
  <si>
    <t>26SS</t>
  </si>
  <si>
    <t>DIAK</t>
  </si>
  <si>
    <t>85% Nylon, 15% Polyurethane</t>
  </si>
  <si>
    <t>파이핑</t>
  </si>
  <si>
    <t>약진통상</t>
  </si>
  <si>
    <t>FANTA</t>
  </si>
  <si>
    <t>62% Rayon, 30% Nylon, 8% Spandex</t>
  </si>
  <si>
    <t>TYLER</t>
  </si>
  <si>
    <t>84% Cotton, 16% Polyester(Sorona)</t>
  </si>
  <si>
    <t>테이프</t>
  </si>
  <si>
    <t>DASH</t>
  </si>
  <si>
    <t>뎅고지퍼</t>
  </si>
  <si>
    <t>뎅고지퍼 꿀렁임</t>
  </si>
  <si>
    <t>OCTAGON</t>
  </si>
  <si>
    <t>스냅</t>
  </si>
  <si>
    <t>스냅 위치 안맞음</t>
  </si>
  <si>
    <t>스트링</t>
  </si>
  <si>
    <t>후다 고리 틀어짐</t>
  </si>
  <si>
    <t>심실링</t>
  </si>
  <si>
    <t>심실링 자국</t>
  </si>
  <si>
    <t>SKYTEX</t>
  </si>
  <si>
    <t>MARTINA_CLASSIC</t>
  </si>
  <si>
    <t>요꼬-우븐원단 넥 꿀렁거림</t>
  </si>
  <si>
    <t>85% Nylon, 15% Spandex</t>
  </si>
  <si>
    <t>Wicking + Quick Dry</t>
  </si>
  <si>
    <t>요꼬-우븐원단 넥 이새몰림</t>
  </si>
  <si>
    <t>COOLATTA</t>
  </si>
  <si>
    <t>88% Nylon, 12% Polyurethane</t>
  </si>
  <si>
    <t>PRIME_DTP</t>
  </si>
  <si>
    <t>CLINT</t>
  </si>
  <si>
    <t>WR + Calender</t>
  </si>
  <si>
    <t>QA808V8-11</t>
  </si>
  <si>
    <t>99% Cotton, 1% Spandex</t>
  </si>
  <si>
    <t>CINDY</t>
  </si>
  <si>
    <t>75% Cotton, 25% Polyester</t>
  </si>
  <si>
    <t>앞판 프린트 꿀렁거림</t>
  </si>
  <si>
    <t>GREENERY</t>
  </si>
  <si>
    <t>95% Cotton, 5% Spandex</t>
  </si>
  <si>
    <t>등판 프린트 꿀렁거림</t>
  </si>
  <si>
    <t>DENVER</t>
  </si>
  <si>
    <t>65% Cotton, 35% Polyester</t>
  </si>
  <si>
    <t>Enzyme Wash + Soft Cool + Quick Dry</t>
  </si>
  <si>
    <t>원전교역</t>
  </si>
  <si>
    <t>GINO</t>
  </si>
  <si>
    <t>WR + Dobby</t>
  </si>
  <si>
    <t>업체명</t>
  </si>
  <si>
    <t>3ATOB0153</t>
  </si>
  <si>
    <t>3FTKB0253</t>
  </si>
  <si>
    <t>원단 필링</t>
  </si>
  <si>
    <t>3APTB1553</t>
  </si>
  <si>
    <t>3AJPV0651</t>
  </si>
  <si>
    <t>3FOPV0353</t>
  </si>
  <si>
    <t>[기본] 조직</t>
    <phoneticPr fontId="1" type="noConversion"/>
  </si>
  <si>
    <t>값</t>
  </si>
  <si>
    <t>설명</t>
  </si>
  <si>
    <t>W</t>
    <phoneticPr fontId="1" type="noConversion"/>
  </si>
  <si>
    <t>K</t>
    <phoneticPr fontId="1" type="noConversion"/>
  </si>
  <si>
    <t>니트</t>
    <phoneticPr fontId="1" type="noConversion"/>
  </si>
  <si>
    <t>[기본] 혼용률</t>
    <phoneticPr fontId="1" type="noConversion"/>
  </si>
  <si>
    <t>섹션</t>
  </si>
  <si>
    <t>그룹명</t>
  </si>
  <si>
    <t>해당 소재 (예시)</t>
  </si>
  <si>
    <t>특징</t>
  </si>
  <si>
    <t>태그</t>
    <phoneticPr fontId="1" type="noConversion"/>
  </si>
  <si>
    <t>C</t>
    <phoneticPr fontId="1" type="noConversion"/>
  </si>
  <si>
    <t>Pure Natural</t>
  </si>
  <si>
    <t>100% Cotton, Cotton/Modal</t>
  </si>
  <si>
    <t>순수 천연 소재</t>
  </si>
  <si>
    <r>
      <t>#천연소재</t>
    </r>
    <r>
      <rPr>
        <sz val="11"/>
        <color theme="1"/>
        <rFont val="맑은 고딕"/>
        <family val="2"/>
        <charset val="129"/>
        <scheme val="minor"/>
      </rPr>
      <t xml:space="preserve">, </t>
    </r>
    <r>
      <rPr>
        <sz val="10"/>
        <color theme="1"/>
        <rFont val="Arial Unicode MS"/>
        <family val="2"/>
      </rPr>
      <t>#수축리스크</t>
    </r>
    <r>
      <rPr>
        <sz val="11"/>
        <color theme="1"/>
        <rFont val="맑은 고딕"/>
        <family val="2"/>
        <charset val="129"/>
        <scheme val="minor"/>
      </rPr>
      <t xml:space="preserve">, </t>
    </r>
    <r>
      <rPr>
        <sz val="10"/>
        <color theme="1"/>
        <rFont val="Arial Unicode MS"/>
        <family val="2"/>
      </rPr>
      <t>#이염주의</t>
    </r>
  </si>
  <si>
    <t>Cotton / Sorona</t>
  </si>
  <si>
    <t>C/Sorona (89/11, 83/17)</t>
  </si>
  <si>
    <t>친환경/형태안정 면</t>
  </si>
  <si>
    <r>
      <t>#친환경</t>
    </r>
    <r>
      <rPr>
        <sz val="11"/>
        <color theme="1"/>
        <rFont val="맑은 고딕"/>
        <family val="2"/>
        <charset val="129"/>
        <scheme val="minor"/>
      </rPr>
      <t xml:space="preserve">, </t>
    </r>
    <r>
      <rPr>
        <sz val="10"/>
        <color theme="1"/>
        <rFont val="Arial Unicode MS"/>
        <family val="2"/>
      </rPr>
      <t>#형태안정</t>
    </r>
    <r>
      <rPr>
        <sz val="11"/>
        <color theme="1"/>
        <rFont val="맑은 고딕"/>
        <family val="2"/>
        <charset val="129"/>
        <scheme val="minor"/>
      </rPr>
      <t xml:space="preserve">, </t>
    </r>
    <r>
      <rPr>
        <sz val="10"/>
        <color theme="1"/>
        <rFont val="Arial Unicode MS"/>
        <family val="2"/>
      </rPr>
      <t>#면혼방</t>
    </r>
  </si>
  <si>
    <t>CX</t>
    <phoneticPr fontId="1" type="noConversion"/>
  </si>
  <si>
    <t>Cotton Mixed</t>
  </si>
  <si>
    <t>C70P30, C/P/Span, C/R/Span</t>
  </si>
  <si>
    <t>면 위주의 혼방 소재</t>
  </si>
  <si>
    <r>
      <t>#면혼방</t>
    </r>
    <r>
      <rPr>
        <sz val="11"/>
        <color theme="1"/>
        <rFont val="맑은 고딕"/>
        <family val="2"/>
        <charset val="129"/>
        <scheme val="minor"/>
      </rPr>
      <t xml:space="preserve">, </t>
    </r>
    <r>
      <rPr>
        <sz val="10"/>
        <color theme="1"/>
        <rFont val="Arial Unicode MS"/>
        <family val="2"/>
      </rPr>
      <t>#범용소재</t>
    </r>
    <r>
      <rPr>
        <sz val="11"/>
        <color theme="1"/>
        <rFont val="맑은 고딕"/>
        <family val="2"/>
        <charset val="129"/>
        <scheme val="minor"/>
      </rPr>
      <t xml:space="preserve">, </t>
    </r>
    <r>
      <rPr>
        <sz val="10"/>
        <color theme="1"/>
        <rFont val="Arial Unicode MS"/>
        <family val="2"/>
      </rPr>
      <t>#이염주의</t>
    </r>
  </si>
  <si>
    <t>N</t>
    <phoneticPr fontId="1" type="noConversion"/>
  </si>
  <si>
    <t>100% Nylon (Recycle 포함)</t>
  </si>
  <si>
    <t>순수 나일론</t>
  </si>
  <si>
    <r>
      <t>#합섬100</t>
    </r>
    <r>
      <rPr>
        <sz val="11"/>
        <color theme="1"/>
        <rFont val="맑은 고딕"/>
        <family val="2"/>
        <charset val="129"/>
        <scheme val="minor"/>
      </rPr>
      <t xml:space="preserve">, </t>
    </r>
    <r>
      <rPr>
        <sz val="10"/>
        <color theme="1"/>
        <rFont val="Arial Unicode MS"/>
        <family val="2"/>
      </rPr>
      <t>#열취약</t>
    </r>
    <r>
      <rPr>
        <sz val="11"/>
        <color theme="1"/>
        <rFont val="맑은 고딕"/>
        <family val="2"/>
        <charset val="129"/>
        <scheme val="minor"/>
      </rPr>
      <t xml:space="preserve">, </t>
    </r>
    <r>
      <rPr>
        <sz val="10"/>
        <color theme="1"/>
        <rFont val="Arial Unicode MS"/>
        <family val="2"/>
      </rPr>
      <t>#고밀도</t>
    </r>
  </si>
  <si>
    <t>NX</t>
    <phoneticPr fontId="1" type="noConversion"/>
  </si>
  <si>
    <t>Nylon Stretch</t>
  </si>
  <si>
    <t>N/Span, N/PU (신축성 위주)</t>
  </si>
  <si>
    <t>활동성 기능 소재</t>
  </si>
  <si>
    <r>
      <t>#활동성</t>
    </r>
    <r>
      <rPr>
        <sz val="11"/>
        <color theme="1"/>
        <rFont val="맑은 고딕"/>
        <family val="2"/>
        <charset val="129"/>
        <scheme val="minor"/>
      </rPr>
      <t xml:space="preserve">, </t>
    </r>
    <r>
      <rPr>
        <sz val="10"/>
        <color theme="1"/>
        <rFont val="Arial Unicode MS"/>
        <family val="2"/>
      </rPr>
      <t>#신축속성</t>
    </r>
    <r>
      <rPr>
        <sz val="11"/>
        <color theme="1"/>
        <rFont val="맑은 고딕"/>
        <family val="2"/>
        <charset val="129"/>
        <scheme val="minor"/>
      </rPr>
      <t xml:space="preserve">, </t>
    </r>
    <r>
      <rPr>
        <sz val="10"/>
        <color theme="1"/>
        <rFont val="Arial Unicode MS"/>
        <family val="2"/>
      </rPr>
      <t>#열취약</t>
    </r>
  </si>
  <si>
    <t>P</t>
    <phoneticPr fontId="1" type="noConversion"/>
  </si>
  <si>
    <t>100% Polyester (Recycle 포함)</t>
  </si>
  <si>
    <t>순수 폴리에스터</t>
  </si>
  <si>
    <r>
      <t>#합섬100</t>
    </r>
    <r>
      <rPr>
        <sz val="11"/>
        <color theme="1"/>
        <rFont val="맑은 고딕"/>
        <family val="2"/>
        <charset val="129"/>
        <scheme val="minor"/>
      </rPr>
      <t xml:space="preserve">, </t>
    </r>
    <r>
      <rPr>
        <sz val="10"/>
        <color theme="1"/>
        <rFont val="Arial Unicode MS"/>
        <family val="2"/>
      </rPr>
      <t>#승화이염</t>
    </r>
    <r>
      <rPr>
        <sz val="11"/>
        <color theme="1"/>
        <rFont val="맑은 고딕"/>
        <family val="2"/>
        <charset val="129"/>
        <scheme val="minor"/>
      </rPr>
      <t xml:space="preserve">, </t>
    </r>
    <r>
      <rPr>
        <sz val="10"/>
        <color theme="1"/>
        <rFont val="Arial Unicode MS"/>
        <family val="2"/>
      </rPr>
      <t>#내구성</t>
    </r>
  </si>
  <si>
    <t>S</t>
    <phoneticPr fontId="1" type="noConversion"/>
  </si>
  <si>
    <t>Specialty</t>
  </si>
  <si>
    <t>100% PU, Wool Mixed, Rayon</t>
  </si>
  <si>
    <t>특수 가공 및 기타</t>
  </si>
  <si>
    <r>
      <t>#특수소재</t>
    </r>
    <r>
      <rPr>
        <sz val="11"/>
        <color theme="1"/>
        <rFont val="맑은 고딕"/>
        <family val="2"/>
        <charset val="129"/>
        <scheme val="minor"/>
      </rPr>
      <t xml:space="preserve">, </t>
    </r>
    <r>
      <rPr>
        <sz val="10"/>
        <color theme="1"/>
        <rFont val="Arial Unicode MS"/>
        <family val="2"/>
      </rPr>
      <t>#별도관리</t>
    </r>
    <r>
      <rPr>
        <sz val="11"/>
        <color theme="1"/>
        <rFont val="맑은 고딕"/>
        <family val="2"/>
        <charset val="129"/>
        <scheme val="minor"/>
      </rPr>
      <t xml:space="preserve">, </t>
    </r>
    <r>
      <rPr>
        <sz val="10"/>
        <color theme="1"/>
        <rFont val="Arial Unicode MS"/>
        <family val="2"/>
      </rPr>
      <t>#혼합속성</t>
    </r>
  </si>
  <si>
    <t>[사양] WEIGHT (원단 중량 등급)</t>
    <phoneticPr fontId="1" type="noConversion"/>
  </si>
  <si>
    <t>단위: g/m² 기준. 아이템별 중량 구간이 상이하므로 아이템 특성 고려 필요.</t>
    <phoneticPr fontId="1" type="noConversion"/>
  </si>
  <si>
    <t>등급</t>
  </si>
  <si>
    <t>명칭</t>
  </si>
  <si>
    <t>[사양 1] 데니어 (우븐/합섬)</t>
  </si>
  <si>
    <t>[사양 2] 중량 (니트/면/팬츠)</t>
  </si>
  <si>
    <t>Ultra Light</t>
  </si>
  <si>
    <t>~20D</t>
  </si>
  <si>
    <t>~80g</t>
  </si>
  <si>
    <t>초경량 다운 점퍼 겉감, 극박직물</t>
  </si>
  <si>
    <r>
      <t>#초경량</t>
    </r>
    <r>
      <rPr>
        <sz val="11"/>
        <color theme="1"/>
        <rFont val="맑은 고딕"/>
        <family val="2"/>
        <charset val="129"/>
        <scheme val="minor"/>
      </rPr>
      <t xml:space="preserve">, </t>
    </r>
    <r>
      <rPr>
        <sz val="10"/>
        <color theme="1"/>
        <rFont val="Arial Unicode MS"/>
        <family val="2"/>
      </rPr>
      <t>#박지</t>
    </r>
    <r>
      <rPr>
        <sz val="11"/>
        <color theme="1"/>
        <rFont val="맑은 고딕"/>
        <family val="2"/>
        <charset val="129"/>
        <scheme val="minor"/>
      </rPr>
      <t xml:space="preserve">, </t>
    </r>
    <r>
      <rPr>
        <sz val="10"/>
        <color theme="1"/>
        <rFont val="Arial Unicode MS"/>
        <family val="2"/>
      </rPr>
      <t>#하중취약</t>
    </r>
    <r>
      <rPr>
        <sz val="11"/>
        <color theme="1"/>
        <rFont val="맑은 고딕"/>
        <family val="2"/>
        <charset val="129"/>
        <scheme val="minor"/>
      </rPr>
      <t xml:space="preserve">, </t>
    </r>
    <r>
      <rPr>
        <sz val="10"/>
        <color theme="1"/>
        <rFont val="Arial Unicode MS"/>
        <family val="2"/>
      </rPr>
      <t>#미어짐</t>
    </r>
  </si>
  <si>
    <t>Light</t>
  </si>
  <si>
    <t>21~40D</t>
  </si>
  <si>
    <t>80~160g</t>
  </si>
  <si>
    <t>일반 바람막이(WJ), 가벼운 셔츠용 우븐</t>
  </si>
  <si>
    <r>
      <t>#경량</t>
    </r>
    <r>
      <rPr>
        <sz val="11"/>
        <color theme="1"/>
        <rFont val="맑은 고딕"/>
        <family val="2"/>
        <charset val="129"/>
        <scheme val="minor"/>
      </rPr>
      <t xml:space="preserve">, </t>
    </r>
    <r>
      <rPr>
        <sz val="10"/>
        <color theme="1"/>
        <rFont val="Arial Unicode MS"/>
        <family val="2"/>
      </rPr>
      <t>#얇음</t>
    </r>
    <r>
      <rPr>
        <sz val="11"/>
        <color theme="1"/>
        <rFont val="맑은 고딕"/>
        <family val="2"/>
        <charset val="129"/>
        <scheme val="minor"/>
      </rPr>
      <t xml:space="preserve">, </t>
    </r>
    <r>
      <rPr>
        <sz val="10"/>
        <color theme="1"/>
        <rFont val="Arial Unicode MS"/>
        <family val="2"/>
      </rPr>
      <t>#일반우븐</t>
    </r>
  </si>
  <si>
    <t>Standard</t>
  </si>
  <si>
    <t>41~75D</t>
  </si>
  <si>
    <t>160~260g</t>
  </si>
  <si>
    <t>기본 반팔 티셔츠(TS), 표준 두께의 우븐</t>
  </si>
  <si>
    <r>
      <t>#표준</t>
    </r>
    <r>
      <rPr>
        <sz val="11"/>
        <color theme="1"/>
        <rFont val="맑은 고딕"/>
        <family val="2"/>
        <charset val="129"/>
        <scheme val="minor"/>
      </rPr>
      <t xml:space="preserve">, </t>
    </r>
    <r>
      <rPr>
        <sz val="10"/>
        <color theme="1"/>
        <rFont val="Arial Unicode MS"/>
        <family val="2"/>
      </rPr>
      <t>#적정밀도</t>
    </r>
    <r>
      <rPr>
        <sz val="11"/>
        <color theme="1"/>
        <rFont val="맑은 고딕"/>
        <family val="2"/>
        <charset val="129"/>
        <scheme val="minor"/>
      </rPr>
      <t xml:space="preserve">, </t>
    </r>
    <r>
      <rPr>
        <sz val="10"/>
        <color theme="1"/>
        <rFont val="Arial Unicode MS"/>
        <family val="2"/>
      </rPr>
      <t>#안정적</t>
    </r>
  </si>
  <si>
    <t>Thick</t>
  </si>
  <si>
    <t>76~150D</t>
  </si>
  <si>
    <t>260~360g</t>
  </si>
  <si>
    <t>맨투맨(MT), 후드, 일반적인 팬츠(PT)용 원단</t>
  </si>
  <si>
    <r>
      <t>#두꺼움</t>
    </r>
    <r>
      <rPr>
        <sz val="11"/>
        <color theme="1"/>
        <rFont val="맑은 고딕"/>
        <family val="2"/>
        <charset val="129"/>
        <scheme val="minor"/>
      </rPr>
      <t xml:space="preserve">, </t>
    </r>
    <r>
      <rPr>
        <sz val="10"/>
        <color theme="1"/>
        <rFont val="Arial Unicode MS"/>
        <family val="2"/>
      </rPr>
      <t>#고시감</t>
    </r>
    <r>
      <rPr>
        <sz val="11"/>
        <color theme="1"/>
        <rFont val="맑은 고딕"/>
        <family val="2"/>
        <charset val="129"/>
        <scheme val="minor"/>
      </rPr>
      <t xml:space="preserve">, </t>
    </r>
    <r>
      <rPr>
        <sz val="10"/>
        <color theme="1"/>
        <rFont val="Arial Unicode MS"/>
        <family val="2"/>
      </rPr>
      <t>#단차주의</t>
    </r>
  </si>
  <si>
    <t>Heavy</t>
  </si>
  <si>
    <t>151D+</t>
  </si>
  <si>
    <t>360g+</t>
  </si>
  <si>
    <t>헤비 스웨트, 고중량 데님, 두꺼운 아우터용</t>
  </si>
  <si>
    <r>
      <t>#고중량</t>
    </r>
    <r>
      <rPr>
        <sz val="11"/>
        <color theme="1"/>
        <rFont val="맑은 고딕"/>
        <family val="2"/>
        <charset val="129"/>
        <scheme val="minor"/>
      </rPr>
      <t xml:space="preserve">, </t>
    </r>
    <r>
      <rPr>
        <sz val="10"/>
        <color theme="1"/>
        <rFont val="Arial Unicode MS"/>
        <family val="2"/>
      </rPr>
      <t>#헤비</t>
    </r>
    <r>
      <rPr>
        <sz val="11"/>
        <color theme="1"/>
        <rFont val="맑은 고딕"/>
        <family val="2"/>
        <charset val="129"/>
        <scheme val="minor"/>
      </rPr>
      <t xml:space="preserve">, </t>
    </r>
    <r>
      <rPr>
        <sz val="10"/>
        <color theme="1"/>
        <rFont val="Arial Unicode MS"/>
        <family val="2"/>
      </rPr>
      <t>#침절주의</t>
    </r>
  </si>
  <si>
    <t>[공정] 후가공</t>
    <phoneticPr fontId="1" type="noConversion"/>
  </si>
  <si>
    <t>코드</t>
  </si>
  <si>
    <t>해당 후가공 (상세 예시)</t>
  </si>
  <si>
    <t>원단 성격 설명</t>
  </si>
  <si>
    <t>Water Proof</t>
  </si>
  <si>
    <t>2-Layer, 3-Layer, TPU/PU Lamination</t>
  </si>
  <si>
    <t>방수 및 투습 기능을 위한 필름 접착 및 코팅 소재</t>
  </si>
  <si>
    <r>
      <t>#방수</t>
    </r>
    <r>
      <rPr>
        <sz val="11"/>
        <color theme="1"/>
        <rFont val="맑은 고딕"/>
        <family val="2"/>
        <charset val="129"/>
        <scheme val="minor"/>
      </rPr>
      <t xml:space="preserve">, </t>
    </r>
    <r>
      <rPr>
        <sz val="10"/>
        <color theme="1"/>
        <rFont val="Arial Unicode MS"/>
        <family val="2"/>
      </rPr>
      <t>#라미네이션</t>
    </r>
    <r>
      <rPr>
        <sz val="11"/>
        <color theme="1"/>
        <rFont val="맑은 고딕"/>
        <family val="2"/>
        <charset val="129"/>
        <scheme val="minor"/>
      </rPr>
      <t xml:space="preserve">, </t>
    </r>
    <r>
      <rPr>
        <sz val="10"/>
        <color theme="1"/>
        <rFont val="Arial Unicode MS"/>
        <family val="2"/>
      </rPr>
      <t>#접착방해</t>
    </r>
    <r>
      <rPr>
        <sz val="11"/>
        <color theme="1"/>
        <rFont val="맑은 고딕"/>
        <family val="2"/>
        <charset val="129"/>
        <scheme val="minor"/>
      </rPr>
      <t xml:space="preserve">, </t>
    </r>
    <r>
      <rPr>
        <sz val="10"/>
        <color theme="1"/>
        <rFont val="Arial Unicode MS"/>
        <family val="2"/>
      </rPr>
      <t>#박리위험</t>
    </r>
  </si>
  <si>
    <t>Water Repellent</t>
  </si>
  <si>
    <t>WR, DWR, Cire, PA Coating, Face Cire</t>
  </si>
  <si>
    <t>물방울을 튕겨내는 발수 가공 및 광택(시레) 처리 소재</t>
  </si>
  <si>
    <r>
      <t>#발수</t>
    </r>
    <r>
      <rPr>
        <sz val="11"/>
        <color theme="1"/>
        <rFont val="맑은 고딕"/>
        <family val="2"/>
        <charset val="129"/>
        <scheme val="minor"/>
      </rPr>
      <t xml:space="preserve">, </t>
    </r>
    <r>
      <rPr>
        <sz val="10"/>
        <color theme="1"/>
        <rFont val="Arial Unicode MS"/>
        <family val="2"/>
      </rPr>
      <t>#시레</t>
    </r>
    <r>
      <rPr>
        <sz val="11"/>
        <color theme="1"/>
        <rFont val="맑은 고딕"/>
        <family val="2"/>
        <charset val="129"/>
        <scheme val="minor"/>
      </rPr>
      <t xml:space="preserve">, </t>
    </r>
    <r>
      <rPr>
        <sz val="10"/>
        <color theme="1"/>
        <rFont val="Arial Unicode MS"/>
        <family val="2"/>
      </rPr>
      <t>#접착력저하</t>
    </r>
    <r>
      <rPr>
        <sz val="11"/>
        <color theme="1"/>
        <rFont val="맑은 고딕"/>
        <family val="2"/>
        <charset val="129"/>
        <scheme val="minor"/>
      </rPr>
      <t xml:space="preserve">, </t>
    </r>
    <r>
      <rPr>
        <sz val="10"/>
        <color theme="1"/>
        <rFont val="Arial Unicode MS"/>
        <family val="2"/>
      </rPr>
      <t>#표면미끄러움</t>
    </r>
  </si>
  <si>
    <t>Appearance</t>
  </si>
  <si>
    <t>Bio-Polish, Enzyme, Peach, Brushed, Tumble</t>
  </si>
  <si>
    <t>촉감을 부드럽게 하거나 표면 기모, 워싱 효과를 준 소재</t>
  </si>
  <si>
    <r>
      <t>#</t>
    </r>
    <r>
      <rPr>
        <sz val="10"/>
        <color theme="1"/>
        <rFont val="맑은 고딕"/>
        <family val="3"/>
        <charset val="129"/>
      </rPr>
      <t>외관개선</t>
    </r>
    <r>
      <rPr>
        <sz val="11"/>
        <color theme="1"/>
        <rFont val="맑은 고딕"/>
        <family val="2"/>
        <charset val="129"/>
        <scheme val="minor"/>
      </rPr>
      <t xml:space="preserve">, </t>
    </r>
    <r>
      <rPr>
        <sz val="10"/>
        <color theme="1"/>
        <rFont val="Arial Unicode MS"/>
        <family val="2"/>
      </rPr>
      <t>#</t>
    </r>
    <r>
      <rPr>
        <sz val="10"/>
        <color theme="1"/>
        <rFont val="맑은 고딕"/>
        <family val="3"/>
        <charset val="129"/>
      </rPr>
      <t>표면변화</t>
    </r>
    <r>
      <rPr>
        <sz val="11"/>
        <color theme="1"/>
        <rFont val="맑은 고딕"/>
        <family val="2"/>
        <charset val="129"/>
        <scheme val="minor"/>
      </rPr>
      <t xml:space="preserve">, </t>
    </r>
    <r>
      <rPr>
        <sz val="10"/>
        <color theme="1"/>
        <rFont val="Arial Unicode MS"/>
        <family val="2"/>
      </rPr>
      <t>#</t>
    </r>
    <r>
      <rPr>
        <sz val="10"/>
        <color theme="1"/>
        <rFont val="맑은 고딕"/>
        <family val="3"/>
        <charset val="129"/>
      </rPr>
      <t>워싱</t>
    </r>
    <r>
      <rPr>
        <sz val="10"/>
        <color theme="1"/>
        <rFont val="Arial"/>
        <family val="2"/>
      </rPr>
      <t>/</t>
    </r>
    <r>
      <rPr>
        <sz val="10"/>
        <color theme="1"/>
        <rFont val="맑은 고딕"/>
        <family val="3"/>
        <charset val="129"/>
      </rPr>
      <t>기모</t>
    </r>
    <phoneticPr fontId="1" type="noConversion"/>
  </si>
  <si>
    <t>Functional</t>
  </si>
  <si>
    <t>UV, Quick Dry, Wicking, Hydrolysis Resistant</t>
  </si>
  <si>
    <t>차단, 속건, 흡습 등 눈에 보이지 않는 기능성을 부여한 소재</t>
  </si>
  <si>
    <t>#기능성, #보이지않는가공, #화학반응</t>
  </si>
  <si>
    <t>Tenter, Compact, Soft Finish, None(X)</t>
  </si>
  <si>
    <t>형태 안정화(텐터) 외에 별도의 기능성 가공이 없는 기본 소재</t>
  </si>
  <si>
    <t>#기본, #가공없음, #표준물성</t>
  </si>
  <si>
    <t>[기능] 스트레치 유무</t>
    <phoneticPr fontId="1" type="noConversion"/>
  </si>
  <si>
    <t>[물성] GU (광택)</t>
    <phoneticPr fontId="1" type="noConversion"/>
  </si>
  <si>
    <t>기준 (광도)</t>
  </si>
  <si>
    <t>MLB 도메인</t>
  </si>
  <si>
    <t>Matt</t>
  </si>
  <si>
    <t>0~8</t>
  </si>
  <si>
    <t>완전 무광, 드라이 텍스처 중심</t>
  </si>
  <si>
    <t>스포티브/웰니스/아웃도어/데일리</t>
  </si>
  <si>
    <t>Semi Matt</t>
  </si>
  <si>
    <t>8~18</t>
  </si>
  <si>
    <t>자연스러운 무광 (매트/글로시 사이, 제일 베이직)</t>
  </si>
  <si>
    <t>스포티브/웰니스/아웃도어/데일리/스트릿</t>
  </si>
  <si>
    <t>Semi Glossy</t>
  </si>
  <si>
    <t>18~35</t>
  </si>
  <si>
    <t>은은한 반광 (패션성과 기능성 밸런스)</t>
  </si>
  <si>
    <t>스포티브/웰니스/고프코어/스트릿</t>
  </si>
  <si>
    <t>Glossy</t>
  </si>
  <si>
    <t>35~55</t>
  </si>
  <si>
    <t>뚜렷한 광택</t>
  </si>
  <si>
    <t>스포티브/스트릿/고프코어</t>
  </si>
  <si>
    <t>High Glossy</t>
  </si>
  <si>
    <t>55+</t>
  </si>
  <si>
    <t>강한 유광, 메탈릭</t>
  </si>
  <si>
    <t>[물성] RA (텍스처 거칠기)</t>
    <phoneticPr fontId="1" type="noConversion"/>
  </si>
  <si>
    <t>기준 (Ra 수치)</t>
  </si>
  <si>
    <t>Micro-Plain</t>
  </si>
  <si>
    <t>0.1~0.8</t>
  </si>
  <si>
    <t>완전 플레인, 거의 요철 없는 매끈 표면 / 기능성 위주 실키 터치</t>
  </si>
  <si>
    <t>Soft-Texture</t>
  </si>
  <si>
    <t>0.8~2.0</t>
  </si>
  <si>
    <t>은은한 조직감 + 부드러운 표면 / 데일리·웰니스 믹스에 최적화</t>
  </si>
  <si>
    <t>Mid-Texture</t>
  </si>
  <si>
    <t>2.0~5.0</t>
  </si>
  <si>
    <t>일반 요철감 / 기능성 + 아웃도어 동시 구현</t>
  </si>
  <si>
    <t>High-Texture</t>
  </si>
  <si>
    <t>5.0~12</t>
  </si>
  <si>
    <t>내추럴 와샤, 크링클·와샤 텍스처 / 고프코어에 적합</t>
  </si>
  <si>
    <t>스트릿/고프코어</t>
  </si>
  <si>
    <t>Ultra-Texture</t>
  </si>
  <si>
    <t>12+</t>
  </si>
  <si>
    <t>헤비 와샤, 거친 조직, 하드 크링클 / 빈티지·고프코어</t>
  </si>
  <si>
    <t>[사양] DENIER (데니어 등급)</t>
    <phoneticPr fontId="1" type="noConversion"/>
  </si>
  <si>
    <t>우븐/나일론/폴리 계열 겉감 기준. 니트·면사 계열은 별도 논의 필요.</t>
  </si>
  <si>
    <t>기준</t>
  </si>
  <si>
    <t>Ultra Thin</t>
  </si>
  <si>
    <t>매우 얇음 / 초경량 / 소프트 / 미세한 터치</t>
  </si>
  <si>
    <t>Thin</t>
  </si>
  <si>
    <t>균형 잡힘 / 경량+내구 적절</t>
  </si>
  <si>
    <t>내구성↑ / 약간 바스락 / 구조감</t>
  </si>
  <si>
    <t>고시감 / 강한 조직감</t>
  </si>
  <si>
    <t>Ultra Thick</t>
  </si>
  <si>
    <t>매우 두꺼움 / 강력한 내마모성</t>
  </si>
  <si>
    <t>지퍼 코드 (Label)</t>
  </si>
  <si>
    <t>소재</t>
  </si>
  <si>
    <t>규격</t>
  </si>
  <si>
    <t>타입</t>
  </si>
  <si>
    <t>핵심 태그 (리스크 판정용)</t>
  </si>
  <si>
    <t>VS-#3-CE</t>
    <phoneticPr fontId="1" type="noConversion"/>
  </si>
  <si>
    <t>VS</t>
  </si>
  <si>
    <t>#3</t>
  </si>
  <si>
    <t>CE</t>
  </si>
  <si>
    <t>#플라스틱 #표준</t>
  </si>
  <si>
    <t>VS-#3-OE</t>
    <phoneticPr fontId="1" type="noConversion"/>
  </si>
  <si>
    <t>OE</t>
  </si>
  <si>
    <t>VS-#5-CE</t>
    <phoneticPr fontId="1" type="noConversion"/>
  </si>
  <si>
    <t>#5</t>
  </si>
  <si>
    <t>#플라스틱 #중량</t>
  </si>
  <si>
    <t>VS-#5-OE</t>
    <phoneticPr fontId="1" type="noConversion"/>
  </si>
  <si>
    <t>VS-#5-2WAY</t>
    <phoneticPr fontId="1" type="noConversion"/>
  </si>
  <si>
    <t>2WAY</t>
  </si>
  <si>
    <t>#플라스틱 #중량 #양방향</t>
  </si>
  <si>
    <t>NY-#3-CE</t>
    <phoneticPr fontId="1" type="noConversion"/>
  </si>
  <si>
    <t>NY</t>
  </si>
  <si>
    <t>#유연함 #박지적합</t>
  </si>
  <si>
    <t>NY-#3-OE</t>
    <phoneticPr fontId="1" type="noConversion"/>
  </si>
  <si>
    <t>NY-#5-CE</t>
    <phoneticPr fontId="1" type="noConversion"/>
  </si>
  <si>
    <t>#유연함 #표준</t>
  </si>
  <si>
    <t>NY-#5-OE</t>
    <phoneticPr fontId="1" type="noConversion"/>
  </si>
  <si>
    <t>NY-#5-2WAY</t>
    <phoneticPr fontId="1" type="noConversion"/>
  </si>
  <si>
    <t>#유연함 #양방향</t>
  </si>
  <si>
    <t>NYWR-#3-CE</t>
    <phoneticPr fontId="1" type="noConversion"/>
  </si>
  <si>
    <t>NYWR</t>
  </si>
  <si>
    <t>#기능성 #발수 #코팅주의</t>
  </si>
  <si>
    <t>NYWR-#3-OE</t>
    <phoneticPr fontId="1" type="noConversion"/>
  </si>
  <si>
    <t>NYWR-#5-CE</t>
    <phoneticPr fontId="1" type="noConversion"/>
  </si>
  <si>
    <t>NYWR-#5-OE</t>
    <phoneticPr fontId="1" type="noConversion"/>
  </si>
  <si>
    <t>NYWR-#5-2WAY</t>
    <phoneticPr fontId="1" type="noConversion"/>
  </si>
  <si>
    <t>#기능성 #발수 #양방향</t>
  </si>
  <si>
    <t>VSWR-#3-CE</t>
    <phoneticPr fontId="1" type="noConversion"/>
  </si>
  <si>
    <t>VSWR</t>
  </si>
  <si>
    <t>#기능성 #발수 #플라스틱</t>
  </si>
  <si>
    <t>VSWR-#3-OE</t>
    <phoneticPr fontId="1" type="noConversion"/>
  </si>
  <si>
    <t>VSWR-#5-OE</t>
    <phoneticPr fontId="1" type="noConversion"/>
  </si>
  <si>
    <t>METAL-#3-CE</t>
    <phoneticPr fontId="1" type="noConversion"/>
  </si>
  <si>
    <t>METAL</t>
  </si>
  <si>
    <t>#금속 #비신축 #고중량</t>
  </si>
  <si>
    <t>METAL-#3-OE</t>
    <phoneticPr fontId="1" type="noConversion"/>
  </si>
  <si>
    <t>METAL-#5-CE</t>
    <phoneticPr fontId="1" type="noConversion"/>
  </si>
  <si>
    <t>#금속 #비신축 #헤비</t>
  </si>
  <si>
    <t>METAL-#5-OE</t>
    <phoneticPr fontId="1" type="noConversion"/>
  </si>
  <si>
    <t>METAL-#5-2WAY</t>
    <phoneticPr fontId="1" type="noConversion"/>
  </si>
  <si>
    <t>#금속 #비신축 #양방향</t>
  </si>
  <si>
    <t>METALUX-#3-CE</t>
    <phoneticPr fontId="1" type="noConversion"/>
  </si>
  <si>
    <t>METALUX</t>
  </si>
  <si>
    <t>#금속 #도금주의 #디자인</t>
  </si>
  <si>
    <t>METALUX-#3-OE</t>
    <phoneticPr fontId="1" type="noConversion"/>
  </si>
  <si>
    <t>METALUX-#5-CE</t>
    <phoneticPr fontId="1" type="noConversion"/>
  </si>
  <si>
    <t>METALUX-#5-OE</t>
    <phoneticPr fontId="1" type="noConversion"/>
  </si>
  <si>
    <t>METALUX-#5-2WAY</t>
    <phoneticPr fontId="1" type="noConversion"/>
  </si>
  <si>
    <t>#금속 #도금주의 #양방향</t>
  </si>
  <si>
    <t>DETAIL (세부 기획 특성)</t>
  </si>
  <si>
    <t>아이템별 추가 세부 속성 컬럼. 사용 방식이 아이템마다 상이함.</t>
  </si>
  <si>
    <t>[그룹 1] 소매</t>
    <phoneticPr fontId="1" type="noConversion"/>
  </si>
  <si>
    <t>FL</t>
  </si>
  <si>
    <t>ST-FL</t>
  </si>
  <si>
    <t>BLD</t>
  </si>
  <si>
    <t>ST-BLD</t>
  </si>
  <si>
    <t>SS</t>
  </si>
  <si>
    <t>Short Sleeve (반소매)</t>
  </si>
  <si>
    <t>QTR</t>
  </si>
  <si>
    <t>ST-QTR</t>
  </si>
  <si>
    <t>LS</t>
  </si>
  <si>
    <t>Long Sleeve (긴소매)</t>
  </si>
  <si>
    <t>SELF</t>
  </si>
  <si>
    <t>NK-SELF</t>
  </si>
  <si>
    <t>[그룹 2] 넥/카라 타입</t>
    <phoneticPr fontId="1" type="noConversion"/>
  </si>
  <si>
    <t>BND</t>
  </si>
  <si>
    <t>NK-BND</t>
  </si>
  <si>
    <t>PIP</t>
  </si>
  <si>
    <t>NK-PIP</t>
  </si>
  <si>
    <t>라운드</t>
  </si>
  <si>
    <t>라운드 넥</t>
  </si>
  <si>
    <t>CGO</t>
  </si>
  <si>
    <t>PKT-CGO</t>
  </si>
  <si>
    <t>반집업</t>
  </si>
  <si>
    <t>하프 집업</t>
  </si>
  <si>
    <t>WLT</t>
  </si>
  <si>
    <t>PKT-WLT</t>
  </si>
  <si>
    <t>후드</t>
  </si>
  <si>
    <t>후드 넥</t>
  </si>
  <si>
    <t>FLP</t>
  </si>
  <si>
    <t>PKT-FLP</t>
  </si>
  <si>
    <t>스탠드넥</t>
  </si>
  <si>
    <t>스탠드 넥</t>
  </si>
  <si>
    <t>OUT</t>
  </si>
  <si>
    <t>PKT-OUT</t>
  </si>
  <si>
    <t>ZIP-UP / Y</t>
  </si>
  <si>
    <t>집업/Y넥 (KC)</t>
  </si>
  <si>
    <t>오프숄더</t>
  </si>
  <si>
    <t>오프숄더 넥</t>
  </si>
  <si>
    <t>YOKE</t>
  </si>
  <si>
    <t>DTL-YOKE</t>
  </si>
  <si>
    <t>오픈카라</t>
  </si>
  <si>
    <t>오픈카라 넥</t>
  </si>
  <si>
    <t>RGL</t>
  </si>
  <si>
    <t>DTL-RGL</t>
  </si>
  <si>
    <t>카라</t>
  </si>
  <si>
    <t>카라 넥</t>
  </si>
  <si>
    <t>PLK</t>
  </si>
  <si>
    <t>DTL-PLK</t>
  </si>
  <si>
    <t>브이넥</t>
  </si>
  <si>
    <t>V넥</t>
  </si>
  <si>
    <t>DTL-CUT</t>
  </si>
  <si>
    <t>가로절개</t>
  </si>
  <si>
    <t>BTN</t>
  </si>
  <si>
    <t>ETC-BTN</t>
  </si>
  <si>
    <t>[그룹 3] 패치 포켓 유무</t>
    <phoneticPr fontId="1" type="noConversion"/>
  </si>
  <si>
    <t>ZIP</t>
  </si>
  <si>
    <t>소매지퍼</t>
  </si>
  <si>
    <t>SEA</t>
  </si>
  <si>
    <t>논카고</t>
  </si>
  <si>
    <t>카고 포켓 없음</t>
  </si>
  <si>
    <t>WTP</t>
  </si>
  <si>
    <t>ETC-WTP</t>
  </si>
  <si>
    <t>와끼 테잎</t>
  </si>
  <si>
    <t>카고</t>
  </si>
  <si>
    <t>카고 포켓 있음</t>
  </si>
  <si>
    <t>WASHED (워싱)</t>
    <phoneticPr fontId="1" type="noConversion"/>
  </si>
  <si>
    <t>1. 워싱 없음 / 비해당</t>
    <phoneticPr fontId="1" type="noConversion"/>
  </si>
  <si>
    <t>워싱 없음 / 비해당 (의류 제외 아이템 포함 전체)</t>
  </si>
  <si>
    <r>
      <t>#워싱없음</t>
    </r>
    <r>
      <rPr>
        <sz val="11"/>
        <color theme="1"/>
        <rFont val="맑은 고딕"/>
        <family val="2"/>
        <charset val="129"/>
        <scheme val="minor"/>
      </rPr>
      <t xml:space="preserve">, </t>
    </r>
    <r>
      <rPr>
        <sz val="10"/>
        <color theme="1"/>
        <rFont val="Arial Unicode MS"/>
        <family val="2"/>
      </rPr>
      <t>#출고상태유지</t>
    </r>
  </si>
  <si>
    <t>O</t>
    <phoneticPr fontId="1" type="noConversion"/>
  </si>
  <si>
    <t>워싱 있음</t>
    <phoneticPr fontId="1" type="noConversion"/>
  </si>
  <si>
    <r>
      <t>#후워싱있음</t>
    </r>
    <r>
      <rPr>
        <sz val="11"/>
        <color theme="1"/>
        <rFont val="맑은 고딕"/>
        <family val="2"/>
        <charset val="129"/>
        <scheme val="minor"/>
      </rPr>
      <t xml:space="preserve">, </t>
    </r>
    <r>
      <rPr>
        <sz val="10"/>
        <color theme="1"/>
        <rFont val="Arial Unicode MS"/>
        <family val="2"/>
      </rPr>
      <t>#부자재데미지</t>
    </r>
    <r>
      <rPr>
        <sz val="11"/>
        <color theme="1"/>
        <rFont val="맑은 고딕"/>
        <family val="2"/>
        <charset val="129"/>
        <scheme val="minor"/>
      </rPr>
      <t xml:space="preserve">, </t>
    </r>
    <r>
      <rPr>
        <sz val="10"/>
        <color theme="1"/>
        <rFont val="Arial Unicode MS"/>
        <family val="2"/>
      </rPr>
      <t>#수축매칭</t>
    </r>
  </si>
  <si>
    <t>2. Woven/데님 기준 (Lv1~5)</t>
    <phoneticPr fontId="1" type="noConversion"/>
  </si>
  <si>
    <t>Normal(Raw) Wash</t>
  </si>
  <si>
    <t>기본 워싱, 원단 그대로에 가까운 세탁</t>
  </si>
  <si>
    <t>Mid Wash(Bleach)</t>
  </si>
  <si>
    <t>중간 블리치, 약한 탈색</t>
  </si>
  <si>
    <t>Garment Dyeing</t>
  </si>
  <si>
    <t>가먼트 다잉, 염색 후 세탁으로 자연스러운 색감</t>
    <phoneticPr fontId="1" type="noConversion"/>
  </si>
  <si>
    <t>Heavy Wash(PP+Brush)</t>
  </si>
  <si>
    <t>PP+브러싱, 강한 워싱</t>
  </si>
  <si>
    <t>Vintage Wash(PP+Brush+Damage)</t>
  </si>
  <si>
    <t>데미지 포함, 최고 강도 빈티지</t>
  </si>
  <si>
    <t>3. Vintage Indigo 기준 (VI-Lv1~3)</t>
    <phoneticPr fontId="1" type="noConversion"/>
  </si>
  <si>
    <t>Vintage Indigo Light</t>
  </si>
  <si>
    <t>연한 인디고, 약한 페이드 — 자연스러운 청물</t>
  </si>
  <si>
    <t>VI-Lv2</t>
  </si>
  <si>
    <t>Vintage Indigo Mid</t>
  </si>
  <si>
    <t>중간 인디고, 페이드+브러싱</t>
  </si>
  <si>
    <t>VI-Lv3</t>
  </si>
  <si>
    <t>Vintage Indigo Heavy</t>
    <phoneticPr fontId="1" type="noConversion"/>
  </si>
  <si>
    <t>강한 워싱, 페이드+데미지 포함</t>
  </si>
  <si>
    <t>사고 발생 원리 (Mechanism)</t>
  </si>
  <si>
    <t>이염 주의</t>
  </si>
  <si>
    <t>조합문제</t>
  </si>
  <si>
    <t>SEASON</t>
  </si>
  <si>
    <t>FABRIC TYPE</t>
  </si>
  <si>
    <t>VENDOR</t>
  </si>
  <si>
    <t>FACTORY</t>
  </si>
  <si>
    <t>원단 업체명</t>
  </si>
  <si>
    <t>후가공</t>
  </si>
  <si>
    <t>봉제구조</t>
  </si>
  <si>
    <t>ISSUE</t>
  </si>
  <si>
    <t>REMARK</t>
  </si>
  <si>
    <t>25SS</t>
  </si>
  <si>
    <t>다이마루</t>
  </si>
  <si>
    <t>팬코</t>
  </si>
  <si>
    <t>꽝남</t>
  </si>
  <si>
    <t>3AMTB0351</t>
  </si>
  <si>
    <t>MATE</t>
  </si>
  <si>
    <t>72% Cotton, 28% Polyester</t>
  </si>
  <si>
    <t>Enzyme + Tenter</t>
  </si>
  <si>
    <t>3APQV0253</t>
  </si>
  <si>
    <t>NUTELLA_U_3도</t>
  </si>
  <si>
    <t>3ASPB0653</t>
  </si>
  <si>
    <t>우븐</t>
  </si>
  <si>
    <t>ACE VINA</t>
  </si>
  <si>
    <t>3FSPB0453</t>
  </si>
  <si>
    <t>바인딩</t>
  </si>
  <si>
    <t>재원단 바인딩 따라 꼬임</t>
  </si>
  <si>
    <t>3APTM0151</t>
  </si>
  <si>
    <t>가이루빠 끝 찝힘</t>
  </si>
  <si>
    <t>NBVO3F</t>
  </si>
  <si>
    <t>3ARSB0453</t>
  </si>
  <si>
    <t>라글란 이새몰림</t>
  </si>
  <si>
    <t>3AMTV0851</t>
  </si>
  <si>
    <t>사이드포켓 입구 늘어남</t>
  </si>
  <si>
    <t>곡선주머니 + 3M테이프</t>
  </si>
  <si>
    <t>HANDSOME</t>
  </si>
  <si>
    <t>AUDREY</t>
  </si>
  <si>
    <t>54% Polyester, 41% Cotton, 5% Spandex</t>
  </si>
  <si>
    <t>YAKJIN VIETNAM</t>
  </si>
  <si>
    <t>3FLGB0151</t>
  </si>
  <si>
    <t>VIVIANA</t>
  </si>
  <si>
    <t>69% Nylon, 31% Elastane</t>
  </si>
  <si>
    <t>Peach Finish</t>
  </si>
  <si>
    <t>3ASPB1353</t>
  </si>
  <si>
    <t>PEPSI</t>
  </si>
  <si>
    <t>44% Rayon, 41% Nylon, 9% Modal, 6% Spandex</t>
  </si>
  <si>
    <t>사이드포켓</t>
  </si>
  <si>
    <t>3ASPB1253</t>
  </si>
  <si>
    <t>패치포켓</t>
  </si>
  <si>
    <t>3APTB0951</t>
  </si>
  <si>
    <t>3FOPH0153</t>
  </si>
  <si>
    <t>기도 양곤</t>
  </si>
  <si>
    <t>소매 플랩</t>
  </si>
  <si>
    <t>소매 플랩 엣지 꿀렁임</t>
  </si>
  <si>
    <t>소매 플랩 구조를</t>
  </si>
  <si>
    <t>불량으로 볼수 있을까?</t>
  </si>
  <si>
    <t>주머니 절개선 비리짐</t>
  </si>
  <si>
    <t>기도 빈</t>
  </si>
  <si>
    <t>3FJPB0251</t>
  </si>
  <si>
    <t>AVELLA</t>
  </si>
  <si>
    <t>PU Lamination + Tumble</t>
  </si>
  <si>
    <t>3ASMB0353</t>
  </si>
  <si>
    <t>KORACE</t>
  </si>
  <si>
    <t>3FSMB0253</t>
  </si>
  <si>
    <t>재원단 바인딩</t>
  </si>
  <si>
    <t>바인딩 따라 꼬임</t>
  </si>
  <si>
    <t>BEEAHN</t>
  </si>
  <si>
    <t>3AWJB0751</t>
  </si>
  <si>
    <t>LOGAN</t>
  </si>
  <si>
    <t>DWR + PU Coating</t>
  </si>
  <si>
    <t>3AWJV0253</t>
  </si>
  <si>
    <t>PURY</t>
  </si>
  <si>
    <t>WR + Fabric Wash + UV</t>
  </si>
  <si>
    <t>3ASMB0753</t>
  </si>
  <si>
    <t>WAIKIKI</t>
  </si>
  <si>
    <t>WR + UV</t>
  </si>
  <si>
    <t>1/4"스티치</t>
  </si>
  <si>
    <t>인도마트라</t>
  </si>
  <si>
    <t>3AJPV0351</t>
  </si>
  <si>
    <t>소매패널</t>
  </si>
  <si>
    <t>소매 패널 꿀렁거림</t>
  </si>
  <si>
    <t>소매패널+파이핑</t>
  </si>
  <si>
    <t>3FSMB0353</t>
  </si>
  <si>
    <t>3ASMV0753</t>
  </si>
  <si>
    <t>후다 엣지 뒤집힘</t>
  </si>
  <si>
    <t>후다 몸판 밀림</t>
  </si>
  <si>
    <t>뎅고</t>
  </si>
  <si>
    <t>뎅고 들림</t>
  </si>
  <si>
    <t>전체 씸 퍼커링</t>
  </si>
  <si>
    <t>MAREEP</t>
  </si>
  <si>
    <t>3FWJB0151</t>
  </si>
  <si>
    <t>3AWPV0251</t>
  </si>
  <si>
    <t>무브비나</t>
  </si>
  <si>
    <t>3AJPV0251</t>
  </si>
  <si>
    <t>데님</t>
  </si>
  <si>
    <t>3ADKM0551</t>
  </si>
  <si>
    <t>3ADPB0153</t>
  </si>
  <si>
    <t>3ADRV0151</t>
  </si>
  <si>
    <t>3FDKV0151</t>
  </si>
  <si>
    <t>3ADRM0151</t>
  </si>
  <si>
    <t>NBVO 2F</t>
  </si>
  <si>
    <t>3AHDB0751</t>
  </si>
  <si>
    <t>스티치</t>
  </si>
  <si>
    <t>가이루빠 보플</t>
  </si>
  <si>
    <t>워싱 후 가이루빠 필링</t>
  </si>
  <si>
    <t>NBVO 3F</t>
  </si>
  <si>
    <t>3AJPV0154</t>
  </si>
  <si>
    <t>카라 파이핑&amp;재원단카라</t>
  </si>
  <si>
    <t>3APTV0254</t>
  </si>
  <si>
    <t>DESTINY</t>
  </si>
  <si>
    <t>수소 스티치</t>
  </si>
  <si>
    <t>수소스티치 간격 불규칙함</t>
  </si>
  <si>
    <t>3FTRB0454</t>
  </si>
  <si>
    <t>요크</t>
  </si>
  <si>
    <t>요크라인 셔링 &amp; 퍼커링</t>
  </si>
  <si>
    <t>JASON</t>
  </si>
  <si>
    <t>3AWPV0554</t>
  </si>
  <si>
    <t>와끼 파이핑 당김</t>
  </si>
  <si>
    <t>3AWJV0154</t>
  </si>
  <si>
    <t>절개선 파이핑 당김/퍼커링</t>
  </si>
  <si>
    <t>기도양곤</t>
  </si>
  <si>
    <t>3FWJV0154</t>
  </si>
  <si>
    <t>OPAL</t>
  </si>
  <si>
    <t>플라켓 길어서 남고 들뜸/비리짐</t>
  </si>
  <si>
    <t>플라켓씸 퍼커링지고 이새몰림</t>
  </si>
  <si>
    <t>앞 지퍼 &amp; 가슴지퍼 꿀렁임</t>
  </si>
  <si>
    <t>GORI</t>
  </si>
  <si>
    <t>3AWJB0254</t>
  </si>
  <si>
    <t>1/4 스티치 꼬임</t>
  </si>
  <si>
    <t>3FJPB0154</t>
  </si>
  <si>
    <t>등요크씸 꿀렁거림</t>
  </si>
  <si>
    <t>늘어나는 원단 + 워싱</t>
  </si>
  <si>
    <t>포켓</t>
  </si>
  <si>
    <t>포케입구 벌어짐</t>
  </si>
  <si>
    <t>쌍입술</t>
  </si>
  <si>
    <t>거림</t>
  </si>
  <si>
    <t>서원</t>
  </si>
  <si>
    <t>3AWPB0154</t>
  </si>
  <si>
    <t xml:space="preserve">구찌 </t>
  </si>
  <si>
    <t>사이드구찌 벌어짐</t>
  </si>
  <si>
    <t>LOTO</t>
  </si>
  <si>
    <t>구찌 꼬임</t>
  </si>
  <si>
    <t>ANHTOAN</t>
  </si>
  <si>
    <t>소매지퍼 퍼커링</t>
  </si>
  <si>
    <t>3ADJB1556</t>
  </si>
  <si>
    <t>영택스</t>
  </si>
  <si>
    <t>ELISON_DTP</t>
  </si>
  <si>
    <t>퍼커링</t>
  </si>
  <si>
    <t>3ADVB0356</t>
  </si>
  <si>
    <t>3ADJM1256</t>
  </si>
  <si>
    <t>3ADJB0356</t>
  </si>
  <si>
    <t>HUNTER</t>
  </si>
  <si>
    <t>3AWJM0154</t>
  </si>
  <si>
    <t>BABEI</t>
  </si>
  <si>
    <t>MAXIMUS_DIA</t>
  </si>
  <si>
    <t>Soft Finish + TPU</t>
  </si>
  <si>
    <t>HUNGLONG</t>
  </si>
  <si>
    <t>3ADJV0356</t>
  </si>
  <si>
    <t>VATICAN</t>
  </si>
  <si>
    <t>PA Coating</t>
  </si>
  <si>
    <t>KING TIDE</t>
  </si>
  <si>
    <t>3LDPB0954</t>
  </si>
  <si>
    <t>QA808D5-11</t>
  </si>
  <si>
    <t>COTTON SPAN</t>
  </si>
  <si>
    <t>가로절개선 꿀렁거림</t>
  </si>
  <si>
    <t>3FOPV0363</t>
  </si>
  <si>
    <t>NAOMI</t>
  </si>
  <si>
    <t>98% Cotton, 2% Polyurethane</t>
  </si>
  <si>
    <t>라글라씸 꿀렁거림</t>
  </si>
  <si>
    <t>3ASPB3563</t>
  </si>
  <si>
    <t>TREVI</t>
  </si>
  <si>
    <t>50% Nylon, 44% Rayon, 6% Polyurethane</t>
  </si>
  <si>
    <t>와끼(파이핑) 꿀렁거림</t>
  </si>
  <si>
    <t xml:space="preserve">몸판-파이핑 축률안맞음 </t>
  </si>
  <si>
    <t>NBVO2F</t>
  </si>
  <si>
    <t>3AMTV0161</t>
  </si>
  <si>
    <t>TINKERBELL</t>
  </si>
  <si>
    <t>PHOONGTIN</t>
  </si>
  <si>
    <t>3AHDV0261</t>
  </si>
  <si>
    <t>G.CHEMI</t>
  </si>
  <si>
    <t>MATEO</t>
  </si>
  <si>
    <t>수소 스티치 폭 불균형</t>
  </si>
  <si>
    <t>KIDO</t>
  </si>
  <si>
    <t>YANGON</t>
  </si>
  <si>
    <t>3AWJB0361</t>
  </si>
  <si>
    <t>가슴포켓</t>
  </si>
  <si>
    <t>가슴 포켓 꼬임</t>
  </si>
  <si>
    <t>가슴주머니</t>
  </si>
  <si>
    <t>KD YANGON</t>
  </si>
  <si>
    <t>3AWJB9161</t>
  </si>
  <si>
    <t>GORE_STORM</t>
  </si>
  <si>
    <t>앞요크 1/4"ST 퍼커링</t>
  </si>
  <si>
    <t>DONGTHO</t>
  </si>
  <si>
    <t>3FWPB0161</t>
  </si>
  <si>
    <t>TASTY</t>
  </si>
  <si>
    <t>카고포켓 불량</t>
  </si>
  <si>
    <t>뎅고 불량</t>
  </si>
  <si>
    <t>3AWPB0563</t>
  </si>
  <si>
    <t>TAERA</t>
  </si>
  <si>
    <t>LAVA</t>
  </si>
  <si>
    <t>WR + Steam Wash</t>
  </si>
  <si>
    <t>3AWJB0463</t>
  </si>
  <si>
    <t>CHURROS</t>
  </si>
  <si>
    <t>94% Nylon, 6% Spandex</t>
  </si>
  <si>
    <t>아웃포켓/가슴주머니 무거움</t>
  </si>
  <si>
    <t>얇은 원단에 아웃포켓&amp;후다</t>
  </si>
  <si>
    <t>VV3</t>
  </si>
  <si>
    <t>3AWPB0461</t>
  </si>
  <si>
    <t>ITOCHU</t>
  </si>
  <si>
    <t>RYDER</t>
  </si>
  <si>
    <t>98% Nylon, 2% Spandex</t>
  </si>
  <si>
    <t>카고 포켓 불량</t>
  </si>
  <si>
    <t>ECOPEL</t>
  </si>
  <si>
    <t>3AJPV1061</t>
  </si>
  <si>
    <t>ROSIE</t>
  </si>
  <si>
    <t>3AJPB0461</t>
  </si>
  <si>
    <t>ANKARA</t>
  </si>
  <si>
    <t>3AWJB9061</t>
  </si>
  <si>
    <t>GORE_TORNADO</t>
  </si>
  <si>
    <t>3Layer</t>
  </si>
  <si>
    <t>심실리부위 원단 밀림</t>
  </si>
  <si>
    <t>대성</t>
  </si>
  <si>
    <t>3ASMB0363</t>
  </si>
  <si>
    <t>JOLLY</t>
  </si>
  <si>
    <t>88% Nylon, 12% Spandex</t>
  </si>
  <si>
    <t>부자재종류</t>
  </si>
  <si>
    <t>3FPTB0251</t>
  </si>
  <si>
    <t>PT_EBD_JAQUARD MICRO POLY 45MM</t>
  </si>
  <si>
    <t>오비밴드 상단 꿀렁임</t>
  </si>
  <si>
    <t>이밴드퀄리티</t>
  </si>
  <si>
    <t>3M</t>
  </si>
  <si>
    <t>파이핑 꿀렁임</t>
  </si>
  <si>
    <t>3M테이프 파이핑</t>
  </si>
  <si>
    <t>PT_TPE_YOKO SOLID 10MM</t>
  </si>
  <si>
    <t>테이프 부위 꼬임</t>
  </si>
  <si>
    <t>3AJPV0451</t>
  </si>
  <si>
    <t>베트남 BGG</t>
  </si>
  <si>
    <t>3ASMB1053</t>
  </si>
  <si>
    <t>PALMA</t>
  </si>
  <si>
    <t>원단 축률 심한데 심실링 작업</t>
  </si>
  <si>
    <t>3AJPM0451</t>
  </si>
  <si>
    <t>우븐 X 요꼬</t>
  </si>
  <si>
    <t>딩하오</t>
  </si>
  <si>
    <t>몸판 + 요꼬 퀄리티 안맞음</t>
  </si>
  <si>
    <t>3ARSB0253</t>
  </si>
  <si>
    <t>DANTE</t>
  </si>
  <si>
    <t>1*1요꼬-(POLY 150D 1합+45/15D 스판 1합 18GG 실리콘가공)</t>
  </si>
  <si>
    <t>3AMTV1254</t>
  </si>
  <si>
    <t>1*1요꼬-(POLY 150D 1합+45/15D 스판 1합 18GG</t>
  </si>
  <si>
    <t>실리콘가공)</t>
  </si>
  <si>
    <t>우븐원단 X 요꼬 에리 퍼커링</t>
  </si>
  <si>
    <t>3AMTB0754</t>
  </si>
  <si>
    <t>요꼬 1X1(POLY 150D 1합+18GG 실리콘 가공)</t>
  </si>
  <si>
    <t>빈증</t>
  </si>
  <si>
    <t>3FPTB1356</t>
  </si>
  <si>
    <t>와끼 테잎 당김</t>
  </si>
  <si>
    <t>SAB_STP_FLAT SQUARE_RUBBER</t>
  </si>
  <si>
    <t>스토퍼 이염</t>
  </si>
  <si>
    <t>AB_ZPP_MLB LOGO #3</t>
  </si>
  <si>
    <t>지퍼풀러 오염</t>
  </si>
  <si>
    <t>3ADJB0956</t>
  </si>
  <si>
    <t>SAB_NY#3-일반 C/E _MLB 스몰로고 고무풀러</t>
  </si>
  <si>
    <t>암홀지퍼 꿀렁거림</t>
  </si>
  <si>
    <t>3FDJB0356</t>
  </si>
  <si>
    <t>SAB_ELT_3 RUBBER 6.5MM/15MM</t>
  </si>
  <si>
    <t>넥 아일렛 들뜸</t>
  </si>
  <si>
    <t>아일렛 크기</t>
  </si>
  <si>
    <t>1*1 YOKO 89% Polyester, 9% Nylon, 2% Span (COTNA 150D</t>
  </si>
  <si>
    <t>1H+45.15D SPAN 1H 18GG)</t>
  </si>
  <si>
    <t>DHA</t>
  </si>
  <si>
    <t>3ATSM0263</t>
  </si>
  <si>
    <t>CRUSH</t>
  </si>
  <si>
    <t>90% Cotton, 10% Spandex</t>
  </si>
  <si>
    <t>Tenter + Enzyme</t>
  </si>
  <si>
    <t>APOLLON_1*1</t>
  </si>
  <si>
    <t>RIB_TAICANG</t>
  </si>
  <si>
    <t>넥 꿀렁거림</t>
  </si>
  <si>
    <t>HANJOO</t>
  </si>
  <si>
    <t>3ARSV0163</t>
  </si>
  <si>
    <t>요꼬X우븐원단 넥 이새몰림</t>
  </si>
  <si>
    <t>3ARSB0263</t>
  </si>
  <si>
    <t>3FSKV0263</t>
  </si>
  <si>
    <t>CRUNCH</t>
  </si>
  <si>
    <t>LACE TAPE 10MM</t>
  </si>
  <si>
    <t>와끼 레이스 부위 꼬임</t>
  </si>
  <si>
    <t>테잎 축률 안맞음</t>
  </si>
  <si>
    <t>3FWPV2363</t>
  </si>
  <si>
    <t>GODIVA</t>
  </si>
  <si>
    <t>LS_STR_NYLON SPORTIVE 8MM</t>
  </si>
  <si>
    <t>+ DEEPING TIP</t>
  </si>
  <si>
    <t>스트링 팁 이염</t>
  </si>
  <si>
    <t>와끼 테잎부위 퍼커링</t>
  </si>
  <si>
    <t>3FSMB0563</t>
  </si>
  <si>
    <t>Piece Dyed + UV</t>
  </si>
  <si>
    <t>와끼 파이핑 부위 퍼커링</t>
  </si>
  <si>
    <t>파이핑 축률 안맞음</t>
  </si>
  <si>
    <t>FABRIC  TYPE</t>
  </si>
  <si>
    <t>원단 배색</t>
  </si>
  <si>
    <t>배색연결부위 퍼커링</t>
  </si>
  <si>
    <t>패널</t>
  </si>
  <si>
    <t>몸판X배색</t>
  </si>
  <si>
    <t>정보없음</t>
  </si>
  <si>
    <t>3AJPB1054</t>
  </si>
  <si>
    <t>몸판 - 카라 원단  다름</t>
  </si>
  <si>
    <t>A/P 14GG 2X1, A 32/2'S + P 75D/PU 70D (굵은 스판사)-딩하오</t>
  </si>
  <si>
    <t>에리 요꼬씸 퍼커링</t>
  </si>
  <si>
    <t>3AJPB0954</t>
  </si>
  <si>
    <t>14GG 2X1, A 32/2'S + P 75D/PU 70D (굵은 스판사)-딩하오</t>
  </si>
  <si>
    <t>에리 요꼬 꿀렁거림</t>
  </si>
  <si>
    <t>3FJPB0254</t>
  </si>
  <si>
    <t>POLY(KS) 14GG, 2X1, KS 40/2'S 2H + 4075TOP2H</t>
  </si>
  <si>
    <t>3ADKV0254</t>
  </si>
  <si>
    <t>3AWJV0363</t>
  </si>
  <si>
    <t>MILKY</t>
  </si>
  <si>
    <t>3ADKV0261</t>
  </si>
  <si>
    <t>9.3(OZ)</t>
  </si>
  <si>
    <t>5.VINTAGE EFFECT VEGAN LEATHER FOR COLLA ?</t>
  </si>
  <si>
    <t>몸판 - 카라 원단  다름 + 워싱</t>
  </si>
  <si>
    <t>아트웍 종류</t>
  </si>
  <si>
    <t>3ATSX0553</t>
  </si>
  <si>
    <t>DTP PRINT 27CM</t>
  </si>
  <si>
    <t>3FTSX0253</t>
  </si>
  <si>
    <t>Heat transfer PRINT 21CM</t>
  </si>
  <si>
    <t>SUNGARMENT</t>
  </si>
  <si>
    <t>3ATSE0253</t>
  </si>
  <si>
    <t>실리콘 조직감프린 + 실리콘 프린트 28CM</t>
  </si>
  <si>
    <t>투명 3M 다이렉트 프린트 39CM</t>
  </si>
  <si>
    <t>랑장</t>
  </si>
  <si>
    <t>3FSKV0254</t>
  </si>
  <si>
    <t>볼륨직자수 2.5CM</t>
  </si>
  <si>
    <t>자수부위 원단 퍼커링</t>
  </si>
  <si>
    <t>스판원단에 자수 침수 많음</t>
  </si>
  <si>
    <t>볼륨1T + 새틴직자수 + 러닝스티치 6CM</t>
  </si>
  <si>
    <t>볼륨자수</t>
  </si>
  <si>
    <t>3AMTV1861</t>
  </si>
  <si>
    <t>MAYA</t>
  </si>
  <si>
    <t>81% Cotton, 19% Polyester(Sorona)</t>
  </si>
  <si>
    <t>Inside fabric edge EMB 36CM</t>
  </si>
  <si>
    <t>자수부분 원단 빠짐</t>
  </si>
  <si>
    <t>자수 테두티 두께</t>
  </si>
  <si>
    <t>3AMTQ0161</t>
  </si>
  <si>
    <t>EMB 6CM</t>
  </si>
  <si>
    <t>앞판 자수 원단 밀림</t>
  </si>
  <si>
    <t>Reflective PRINT 39CM</t>
  </si>
  <si>
    <t>3AWJB0661</t>
  </si>
  <si>
    <t>MAGGY_BIG_DTP</t>
  </si>
  <si>
    <t>Piece Dyed</t>
  </si>
  <si>
    <t>Chain Stitch Embroidery 5CM</t>
  </si>
  <si>
    <t>앞판 자수 부위 원단 우글거림</t>
  </si>
  <si>
    <t>원단 대비 자수 침수 많음</t>
  </si>
  <si>
    <t>3FWJB9054</t>
  </si>
  <si>
    <t>전부위 퍼커링/핫멜팅 버블</t>
  </si>
  <si>
    <t>3AWJB9154</t>
  </si>
  <si>
    <t>니디아</t>
  </si>
  <si>
    <t>3AWJB9354</t>
  </si>
  <si>
    <t>전부위 퍼커링</t>
  </si>
  <si>
    <t>(주)고어코리아</t>
  </si>
  <si>
    <t>GORE_STORM_GORETEX</t>
  </si>
  <si>
    <t>100% Polyester (75D)</t>
  </si>
  <si>
    <t>2LAYER</t>
  </si>
  <si>
    <t>3ATSX0453</t>
  </si>
  <si>
    <t>원단필링/보플</t>
  </si>
  <si>
    <t>약진베트남</t>
  </si>
  <si>
    <t>원단 올뭉침</t>
  </si>
  <si>
    <t>카라 원단 필링</t>
  </si>
  <si>
    <t>요꼬 필링</t>
  </si>
  <si>
    <t>원단 스크래치</t>
  </si>
  <si>
    <t>3FHDB0556</t>
  </si>
  <si>
    <t>PUKU</t>
  </si>
  <si>
    <t>3AMTB0154</t>
  </si>
  <si>
    <t>원단 올뜯김(자카드)</t>
  </si>
  <si>
    <t>3AJPV2161</t>
  </si>
  <si>
    <t>원단 덴싱</t>
  </si>
  <si>
    <t>3AJPV0161</t>
  </si>
  <si>
    <t>퍼커링 심함</t>
  </si>
  <si>
    <t>지퍼</t>
  </si>
  <si>
    <t>값 (Value)</t>
  </si>
  <si>
    <t>명칭 (Title)</t>
  </si>
  <si>
    <t>기준 (Technical Standard)</t>
  </si>
  <si>
    <t>설명 (Technical Description)</t>
  </si>
  <si>
    <t>Non-Stretch</t>
  </si>
  <si>
    <t>Natural / Knit</t>
  </si>
  <si>
    <t>Comfort</t>
  </si>
  <si>
    <t>High-Stretch</t>
  </si>
  <si>
    <t>Super / 4-Way</t>
  </si>
  <si>
    <t>[혼용율] 스판 0% + [스트레치] 無</t>
  </si>
  <si>
    <t>일반 코튼 우븐, 옥스포드 셔츠, 생지 데님</t>
  </si>
  <si>
    <t>[혼용율] 스판 0% + [스트레치] 有 (또는 구조적 신축)</t>
  </si>
  <si>
    <t>플리스, 저지(T셔츠), T400/PBT 원사 원단</t>
  </si>
  <si>
    <t>[혼용율] 스판 2~5% + [스트레치] 有</t>
  </si>
  <si>
    <t>일반적인 치노 팬츠, 슬랙스, 스트레치 셔츠</t>
  </si>
  <si>
    <t>[혼용율] 스판 6~11% + [스트레치] 有</t>
  </si>
  <si>
    <t>액티브 웨어, 등산복, 고신축 팬츠</t>
  </si>
  <si>
    <t>[혼용율] 스판 12%↑ + [스트레치] 有</t>
  </si>
  <si>
    <t>레깅스, 컴프레션 웨어, 수영복</t>
  </si>
  <si>
    <t>리스크 명칭</t>
  </si>
  <si>
    <t>안착 불량</t>
  </si>
  <si>
    <t>봉제 구조 구분 기준</t>
    <phoneticPr fontId="1" type="noConversion"/>
  </si>
  <si>
    <t>봉제 부하</t>
  </si>
  <si>
    <t>시스템 알람 메시지</t>
  </si>
  <si>
    <t>가이루빠 필링 및 스티치 자글거림 확인</t>
  </si>
  <si>
    <t>부자재코드</t>
    <phoneticPr fontId="1" type="noConversion"/>
  </si>
  <si>
    <t>분류 정의</t>
  </si>
  <si>
    <t>포함되는 부자재 예시</t>
  </si>
  <si>
    <t>RIB</t>
  </si>
  <si>
    <t>원단처럼 짜여진 신축성 부속</t>
  </si>
  <si>
    <t>요꼬(YOKO), 시보리, 자카드 밴드, 고무줄(Elastic)</t>
  </si>
  <si>
    <t>결합/여밈류</t>
  </si>
  <si>
    <t>FST</t>
  </si>
  <si>
    <t>옷을 여미는 하드웨어 (Fastener)</t>
  </si>
  <si>
    <t>지퍼(ZIP), 스냅(SNP), 단추(BTN), 훅</t>
  </si>
  <si>
    <t>테이프/끈류</t>
  </si>
  <si>
    <t>TRM</t>
  </si>
  <si>
    <t>선(Line) 형태의 장식/보강재</t>
  </si>
  <si>
    <t>테이프, 스트링(String), 파이핑, 라벨 테잎</t>
  </si>
  <si>
    <t>접착/가공류</t>
  </si>
  <si>
    <t>ADH</t>
  </si>
  <si>
    <t>열이나 본드로 붙이는 부속</t>
  </si>
  <si>
    <t>심실링(SEA), 전사(Transfer), 테이프 접착</t>
  </si>
  <si>
    <t>기타 부속</t>
  </si>
  <si>
    <t>ACC</t>
  </si>
  <si>
    <t>형태 유지를 돕거나 로고류</t>
  </si>
  <si>
    <t>스토퍼(Stopper), 딩하오, 와펜, 고무 패치</t>
  </si>
  <si>
    <t>소분류 (Sub-Category)</t>
  </si>
  <si>
    <t>코드 (Code)</t>
  </si>
  <si>
    <t>주요 항목 (Items)</t>
  </si>
  <si>
    <t>밴드</t>
  </si>
  <si>
    <t>EBD</t>
  </si>
  <si>
    <t>자카드 밴드, 고무줄, 마이크로 폴리 밴드</t>
  </si>
  <si>
    <t>요꼬</t>
  </si>
  <si>
    <t>YOKO</t>
  </si>
  <si>
    <t>1*1 요꼬, 실리콘 가공 요꼬, 립(RIB)</t>
  </si>
  <si>
    <t>FST (여밈/결합류)</t>
  </si>
  <si>
    <t>뎅고지퍼, 메탈/비슬론 지퍼, 풀러</t>
  </si>
  <si>
    <t>SNP</t>
  </si>
  <si>
    <t>금속 스냅, 플라스틱 스냅, 링스냅</t>
  </si>
  <si>
    <t>넛트/폴리 단추, 고무 단추</t>
  </si>
  <si>
    <t>TRM (테이프/끈류)</t>
  </si>
  <si>
    <t>TAP</t>
  </si>
  <si>
    <t>와끼 테잎, 3M 반사 테잎, 바인딩</t>
  </si>
  <si>
    <t>STR</t>
  </si>
  <si>
    <t>고무 스트링, 면 스트링, 팁(Tip) 처리</t>
  </si>
  <si>
    <t>파이핑, 코드 파이핑</t>
  </si>
  <si>
    <t>ADH (접착/가공류)</t>
  </si>
  <si>
    <t>심실링 테이프, 웰딩 테이프</t>
  </si>
  <si>
    <t>ACC (기타/장식류)</t>
  </si>
  <si>
    <t>기능부속</t>
  </si>
  <si>
    <t>FNC</t>
  </si>
  <si>
    <t>스토퍼, 코드락, 딩하오(세트)</t>
  </si>
  <si>
    <t>라벨/와펜</t>
  </si>
  <si>
    <t>LBL</t>
  </si>
  <si>
    <t>메인/케어라벨, 전사, 고무 와펜</t>
  </si>
  <si>
    <t>부자재 분류코드 - 대분류</t>
    <phoneticPr fontId="1" type="noConversion"/>
  </si>
  <si>
    <t>부자재 분류코드 - 소분류</t>
    <phoneticPr fontId="1" type="noConversion"/>
  </si>
  <si>
    <t>복합 파동</t>
  </si>
  <si>
    <t>⚠️ [안착 주의] 카라 부위 부자재 겹침에 따른 안착 불량 및 형태 유지 점검</t>
  </si>
  <si>
    <t>⚠️ [구조 주의] 곡선 부위 강한 밴드 삽입 시 봉제선 꿀렁임 발생 확인</t>
  </si>
  <si>
    <t>`</t>
    <phoneticPr fontId="1" type="noConversion"/>
  </si>
  <si>
    <t>배색부위</t>
    <phoneticPr fontId="1" type="noConversion"/>
  </si>
  <si>
    <t>배색물성</t>
    <phoneticPr fontId="1" type="noConversion"/>
  </si>
  <si>
    <t>배색코드</t>
    <phoneticPr fontId="1" type="noConversion"/>
  </si>
  <si>
    <t>대표 기법 (Keywords)</t>
  </si>
  <si>
    <t>분류 근거 (Logic)</t>
  </si>
  <si>
    <t>PRINT (프린트)</t>
  </si>
  <si>
    <t>FILM (필름)</t>
  </si>
  <si>
    <t>전사, Reflective, 3M, 컷팅전사</t>
  </si>
  <si>
    <t>원단 위에 '붙이는' 방식 (열에 민감)</t>
  </si>
  <si>
    <t>INK (잉크)</t>
  </si>
  <si>
    <t>DTP, 실리콘, 다이렉트, 졸</t>
  </si>
  <si>
    <t>원단에 '스며들거나 쌓는' 방식 (갈라짐 민감)</t>
  </si>
  <si>
    <t>HEAVY (헤비)</t>
  </si>
  <si>
    <t>볼륨, 1T, 패치, 입체직자수</t>
  </si>
  <si>
    <t>바늘 수가 많고 두꺼움 (원단 손상 민감)</t>
  </si>
  <si>
    <t>LIGHT (라이트)</t>
  </si>
  <si>
    <t>새틴, 러닝, 체인, 스티치</t>
  </si>
  <si>
    <t>바늘 수가 적고 평면적임 (비침/묻힘 민감)</t>
  </si>
  <si>
    <t>아트웍 구분 기준</t>
    <phoneticPr fontId="1" type="noConversion"/>
  </si>
  <si>
    <t>아트웍코드</t>
    <phoneticPr fontId="1" type="noConversion"/>
  </si>
  <si>
    <t>열변색 주의</t>
  </si>
  <si>
    <t>프린트 크랙</t>
  </si>
  <si>
    <t>원단 데미지</t>
  </si>
  <si>
    <t>핸드필 저하</t>
  </si>
  <si>
    <t>⚠️ [열변색 주의] 나일론 원단 고온 압착 시 승화 이염 및 수축 테스트 필수</t>
  </si>
  <si>
    <t>⚠️ [프린트 크랙] 고신축 원단 신장 시 잉크 갈라짐 주의 (실리콘 잉크 권장)</t>
  </si>
  <si>
    <t>⚠️ [원단 데미지] 초경량 원단 대비 자수 밀도 과다: 원단 찢어짐 및 처짐 확인</t>
  </si>
  <si>
    <t>⚠️ [핸드필 저하] 대형 프린트 작업 부위 원단 뻣뻣해짐 및 터치감 확인</t>
  </si>
  <si>
    <t>코드 분류 (조합 조건)</t>
  </si>
  <si>
    <t>넥 안착 상태 및 밴드 당김 정도 점검</t>
  </si>
  <si>
    <t>⚠️ [봉제 부하] 고중량/고신축: 스티치 땀수 및 바늘 열 발생 주의</t>
  </si>
  <si>
    <t>NK + Lv 4/5</t>
  </si>
  <si>
    <t>ST + Lv 5</t>
  </si>
  <si>
    <t>⚠️ [하중 경고] 초경량 원단 내 금속 부자재 사용 시 처짐/미어짐 위험</t>
  </si>
  <si>
    <t>⚠️ [물성 주의] 고신축 원단-비신축 부자재 간 신축 차이로 인한 파동 위험</t>
  </si>
  <si>
    <t>EBD + PIP/BND</t>
  </si>
  <si>
    <t>YOKO + NK-SELF</t>
  </si>
  <si>
    <t>부자재 가공유 세척 상태 확인 및 코팅면 이염/박리 테스트</t>
  </si>
  <si>
    <t>부착 부위 보강 심지 및 테이프 작업 상태 확인</t>
  </si>
  <si>
    <t>곡선 부위의 밴드와 파이핑 중첩으로 인해 봉제선이 설계된 곡률을 벗어나 꿀렁임</t>
  </si>
  <si>
    <t>곡선 부위 이세(Ease) 및 밴드 분량 조절 확인</t>
  </si>
  <si>
    <t>재원단과 요꼬 중첩 부위의 두께 과다로 인해 카라 안착감이 저하되고 형태 왜곡</t>
  </si>
  <si>
    <t>카라 꺾임선(Roll line) 프레스 상태 및 시접 제거 점검</t>
  </si>
  <si>
    <t>고신축 원단 봉제 장력에 의해 넥 라인이 우글거리거나 뒤집히는 현상 발생</t>
  </si>
  <si>
    <t>고중량 원단 통과 시 바늘 저항으로 인한 실 끊김 및 땀수 건너뜀 발생</t>
  </si>
  <si>
    <t>카라 고위험</t>
  </si>
  <si>
    <t>중량 격차</t>
  </si>
  <si>
    <t>⚠️ [이염 주의] 인디고 워싱 시 지퍼 이빨 이염 확인</t>
  </si>
  <si>
    <t>기능성 매칭</t>
  </si>
  <si>
    <t>EMB (자수)</t>
    <phoneticPr fontId="1" type="noConversion"/>
  </si>
  <si>
    <t>대분류 (L)</t>
  </si>
  <si>
    <t>소분류 (N)</t>
  </si>
  <si>
    <t>최종 코드</t>
  </si>
  <si>
    <t>원본 데이터 키워드 예시</t>
  </si>
  <si>
    <t>1/4" 스티치, 더블 스티치</t>
  </si>
  <si>
    <t>SGL</t>
  </si>
  <si>
    <t>ST-SGL</t>
  </si>
  <si>
    <t>1/16" 스티치, 싱글 스티치</t>
  </si>
  <si>
    <t>가이루빠, 오드람프, 플랫록</t>
  </si>
  <si>
    <t>수소 스티치, 블라인드 스티치</t>
  </si>
  <si>
    <t>재원단 카라, 에리</t>
  </si>
  <si>
    <t>바인딩, 헤링본 테잎, 넥테잎</t>
  </si>
  <si>
    <t>파이핑, 랍바 처리</t>
  </si>
  <si>
    <t>카고 포켓, 입체 포켓, 벨로우즈</t>
  </si>
  <si>
    <t>구찌 포켓, 웰트, 립 주머니</t>
  </si>
  <si>
    <t>후다, 플랩 포켓</t>
  </si>
  <si>
    <t>패치 포켓, 아웃 포켓, 사이드 포켓</t>
  </si>
  <si>
    <t>뒷요크, 어깨 요크</t>
  </si>
  <si>
    <t>라글란, 나그랑 절개</t>
  </si>
  <si>
    <t>플라켓, 뎅고, 앞립</t>
  </si>
  <si>
    <t>가로절개, 세로절개, 프린세스 라인</t>
  </si>
  <si>
    <t>ADH-SEA</t>
  </si>
  <si>
    <t>심실링, 방수 테이핑</t>
  </si>
  <si>
    <t>WLD</t>
  </si>
  <si>
    <t>ADH-WLD</t>
  </si>
  <si>
    <t>웰딩, 고주파 접착, 핫멜트</t>
  </si>
  <si>
    <t>단추, 스냅, 아일렛</t>
  </si>
  <si>
    <t>와끼 테잎, 브랜드 테잎</t>
  </si>
  <si>
    <t>지퍼 구분 기준</t>
    <phoneticPr fontId="1" type="noConversion"/>
  </si>
  <si>
    <t>ST (Stitch)</t>
    <phoneticPr fontId="1" type="noConversion"/>
  </si>
  <si>
    <t>NK (Neck)</t>
    <phoneticPr fontId="1" type="noConversion"/>
  </si>
  <si>
    <t>PKT (Pocket)</t>
    <phoneticPr fontId="1" type="noConversion"/>
  </si>
  <si>
    <t>DTL (Detail)</t>
    <phoneticPr fontId="1" type="noConversion"/>
  </si>
  <si>
    <t>ADH (Adhesive)</t>
    <phoneticPr fontId="1" type="noConversion"/>
  </si>
  <si>
    <t>ETC (Etc)</t>
    <phoneticPr fontId="1" type="noConversion"/>
  </si>
  <si>
    <t>RIB (편직/밴드류)</t>
    <phoneticPr fontId="1" type="noConversion"/>
  </si>
  <si>
    <t>편직/밴드류</t>
    <phoneticPr fontId="1" type="noConversion"/>
  </si>
  <si>
    <t>다이마루</t>
    <phoneticPr fontId="1" type="noConversion"/>
  </si>
  <si>
    <t>스웨터</t>
    <phoneticPr fontId="1" type="noConversion"/>
  </si>
  <si>
    <t>봉제 코드 알람 메시지 설정 기준</t>
    <phoneticPr fontId="1" type="noConversion"/>
  </si>
  <si>
    <t>부자재 코드 알람 메시지 설정 기준</t>
    <phoneticPr fontId="1" type="noConversion"/>
  </si>
  <si>
    <t>지퍼 코드 알람 메시지 설정 기준</t>
    <phoneticPr fontId="1" type="noConversion"/>
  </si>
  <si>
    <t>소재 물성 코드 알람 메시지 설정 기준</t>
    <phoneticPr fontId="1" type="noConversion"/>
  </si>
  <si>
    <t>아트웍 코드 알람 메시지 설정 기준</t>
    <phoneticPr fontId="1" type="noConversion"/>
  </si>
  <si>
    <t>타입</t>
    <phoneticPr fontId="1" type="noConversion"/>
  </si>
  <si>
    <t>D</t>
    <phoneticPr fontId="1" type="noConversion"/>
  </si>
  <si>
    <t>데님</t>
    <phoneticPr fontId="1" type="noConversion"/>
  </si>
  <si>
    <t>조합 조건 (T열 + W열)</t>
  </si>
  <si>
    <t>리스크/가이드 명칭</t>
  </si>
  <si>
    <t>사고 발생 원리 및 대응 (Mechanism)</t>
  </si>
  <si>
    <t>NYLON(T) + LEATHER(W)</t>
  </si>
  <si>
    <t>물성 상성 주의</t>
  </si>
  <si>
    <t>유연한 나일론과 강직한 레더의 결합부 안착 불량 및 워싱 시 형태 왜곡 위험</t>
  </si>
  <si>
    <t>⚠️ [물성 상성] 나일론-레더: 안착 불량 위험 (패턴 여유 및 고온 스팀 안착 확인)</t>
  </si>
  <si>
    <t>레더 부위 패턴 이세(Ease) 및 벌키함 제어 상태 확인</t>
  </si>
  <si>
    <t>NYLON(T) + POLY(W)</t>
  </si>
  <si>
    <t>축률 관리(이염방지)</t>
  </si>
  <si>
    <t>[전문가 선택] 이염 방지를 위한 폴리 배색 사용 시, 소재 간 수축 온도차에 의한 퍼커링만 관리</t>
  </si>
  <si>
    <t>✅ [축률 관리] 이염 방지용 폴리 배색: 몸판과의 수축률 편차만 최종 확인</t>
  </si>
  <si>
    <t>소재별 100℃/120℃ 수축 테스트 결과 대조 및 봉제 텐션 조정</t>
  </si>
  <si>
    <t>W/P(T) + COTTON(W)</t>
  </si>
  <si>
    <t>강도 불일치</t>
  </si>
  <si>
    <t>화섬/울의 탄성과 면의 비탄성이 충돌하여 꺾임선이나 끝단이 무너지는 현상</t>
  </si>
  <si>
    <t>⚠️ [강도 불일치] 화섬/울-면: 소재 강도 차이에 의한 형태 유지력 점검</t>
  </si>
  <si>
    <t>카라/앞립 심지 보강 및 프레스 후 형태 복원력 확인</t>
  </si>
  <si>
    <t>WOVEN(T) + RIB/KNIT(W)</t>
  </si>
  <si>
    <t>신축 단차</t>
  </si>
  <si>
    <t>우븐의 고정력과 리브의 신축성이 충돌하여 연결 부위가 꿀렁이거나 옷이 당겨짐</t>
  </si>
  <si>
    <t>⚠️ [신축 단차] 우븐-요꼬/니트: 신축 차이에 의한 꿀렁임 및 당김 주의</t>
  </si>
  <si>
    <t>리브 부착 시 장력 조절 및 스팀 후 봉제선 파동 여부 확인</t>
  </si>
  <si>
    <t>Lv 1(T) + HEAVY(W)</t>
  </si>
  <si>
    <t>초경량 원단이 무거운 배색(레더 등)의 하중을 견디지 못해 연결부가 미어짐</t>
  </si>
  <si>
    <t>⚠️ [중량 격차] 초경량 몸판 대비 배색 무거움: 연결부 처짐 및 미어짐 위험</t>
  </si>
  <si>
    <t>보강 테이프 작업 및 하중 집중 부위 바택(Bar-tack) 점검</t>
  </si>
  <si>
    <t>코드 분류 (조합)</t>
  </si>
  <si>
    <t>PRINT-FILM + N</t>
  </si>
  <si>
    <t>PRINT-INK + Lv 3↑</t>
  </si>
  <si>
    <t>EMB-HEAVY + Lv 1</t>
  </si>
  <si>
    <t>EMB-LIGHT + Lv 5</t>
  </si>
  <si>
    <t>SIZE 39CM↑ / BIG</t>
  </si>
  <si>
    <t>대면적 잉크 경화로 원단 유연성이 차단되어 해당 부위가 판판하게 굳어 실루엣을 방해함</t>
  </si>
  <si>
    <t>프린트 면적 대비 드레이프성 확인 및 후처리 유연제 공정 추가 검토</t>
  </si>
  <si>
    <t>ST / NX + EMB</t>
  </si>
  <si>
    <t>자수 퍼커링</t>
  </si>
  <si>
    <t>[은지님 픽] 스판 원단의 신축성과 자수사의 고정력이 충돌하여 바늘 침수 부위가 우글거리거나 당겨짐</t>
  </si>
  <si>
    <t>⚠️ [자수 퍼커링] 스판 원단 자수 침수 과다: 원단 우글거림 및 자수 부위 당김 확인</t>
  </si>
  <si>
    <t>자수 심지(Backing) 사양 강화 및 침수 밀도 조정, 사전 퍼커링 테스트 필수</t>
  </si>
  <si>
    <t>고온 압착 시 나일론 염료가 필름 위로 배어 나오는 승화(Migration) 및 원단 수축 발생</t>
  </si>
  <si>
    <t>필름 압착 온도/시간 최적화 및 메인 전 승화 테스트 확인</t>
  </si>
  <si>
    <t>원단 신장률 대비 잉크 인장 강도가 낮아 착용 시 원단이 늘어날 때 프린트 면이 갈라짐</t>
  </si>
  <si>
    <t>원단 최대 신장 시 잉크 갈라짐 테스트 및 신축 대응 잉크 선정</t>
  </si>
  <si>
    <t>얇은 원단이 고밀도 자수 바늘 구멍을 견디지 못하고 미어지거나 자수 무게로 외관이 처짐</t>
  </si>
  <si>
    <t>자수 침수(Stitch Count) 하향 조정 및 안감 보강 심지 사양 확인</t>
  </si>
  <si>
    <t>자수 파묻힘</t>
  </si>
  <si>
    <t>[정정] 고밀도/두꺼운 원단 기모나 조직 사이에 낮은 밀도의 자수가 파묻혀 외관상 인지 불가</t>
  </si>
  <si>
    <t>⚠️ [자수 파묻힘] 고중량 원단에 자수가 파묻힐 수 있음: 밀도 보완 및 외관 확인</t>
  </si>
  <si>
    <t>자수 밀도(Density) 상향 및 수용성 심지(Topping) 사용 검토</t>
  </si>
  <si>
    <t>CX / C + ETC</t>
  </si>
  <si>
    <t>신축 있는 면 몸판과 강직한 우레탄(ETC) 카라의 강도 차이로 카라 끝이 들뜨거나 안착 불량 발생</t>
  </si>
  <si>
    <t>⚠️ [물성 상성] 코튼-우레탄(ETC): 카라 안착 불량 및 들뜸 위험 (패턴/심지 점검)</t>
  </si>
  <si>
    <t>카라 안착을 위한 패턴 여유량 확인 및 고온 프레스 시 원단 변형 체크</t>
  </si>
  <si>
    <t>D + ETC</t>
  </si>
  <si>
    <t>데님 워싱 시 우레탄 배색의 수축률이 원단과 달라 카라가 뒤틀리거나 코팅막이 손상됨</t>
  </si>
  <si>
    <t>⚠️ [카라 고위험] 데님-우레탄(ETC): 워싱 시 안착 불량 및 표면 손상 주의</t>
  </si>
  <si>
    <t>워싱 온도 및 시간 제한, 메인 전 반드시 워싱 샘플 안착 상태 확인</t>
  </si>
  <si>
    <t>하중 경고</t>
  </si>
  <si>
    <t>물성 주의</t>
  </si>
  <si>
    <t>테이프 텐션 조절 및 스트레치 전용 자재 사용 여부 점검</t>
  </si>
  <si>
    <t>구조 주의</t>
  </si>
  <si>
    <t>코드 분류 (T열 + W열)</t>
  </si>
  <si>
    <t>WP + ZIP/SNP</t>
  </si>
  <si>
    <t>금속 가공유/도금 성분이 코팅막(WP)과 반응하여 오염 및 접착력 저하 유발</t>
  </si>
  <si>
    <t>Lv 1 + ZIP/SNP</t>
  </si>
  <si>
    <t>초경량 원단(Lv 1)이 금속 무게를 견디지 못해 부착 부위 처짐 또는 미어짐 발생</t>
  </si>
  <si>
    <t>W + TAP/PIP</t>
  </si>
  <si>
    <t>축률 주의</t>
  </si>
  <si>
    <t>우븐 몸판과 테이프/파이핑 간의 축률 차이로 인해 봉제 부위 뒤틀림 발생</t>
  </si>
  <si>
    <t>⚠️ [축률 주의] 우븐-테이프/파이핑: 축률 편차에 의한 봉제선 꼬임 및 퍼커링 확인</t>
  </si>
  <si>
    <t>원단/부자재 각각 선세탁 후 축률 대조 및 테이프 장력 최소화</t>
  </si>
  <si>
    <t>Lv 4/5 + TAP/PIP</t>
  </si>
  <si>
    <t>고신축 원단(Lv 4/5)과 비신축 테이프 간의 신축 차이로 인한 파동 발생</t>
  </si>
  <si>
    <t>WP + SEA</t>
  </si>
  <si>
    <t>공정 주의</t>
  </si>
  <si>
    <t>방수 필름(WP)과 심실링 테이프 접착 시 열에 의한 자국 및 원단 수축 발생</t>
  </si>
  <si>
    <t>⚠️ [공정 주의] 코팅 원단-심실링 작업: 원단 수축 및 외관 변형 확인</t>
  </si>
  <si>
    <t>심실링 온도/속도 테스트 및 메인 전 수축률 편차 최종 대조</t>
  </si>
  <si>
    <t>RIB / YOKO</t>
  </si>
  <si>
    <t>외관 불량</t>
  </si>
  <si>
    <t>몸판 원단과 요꼬 부속 간의 중량/밀도 불일치로 인한 꿀렁임 발생</t>
  </si>
  <si>
    <t>⚠️ [외관 불량] 몸판-요꼬 중량/퀄리티 불일치: 넥 꿀렁임 점검</t>
  </si>
  <si>
    <t>요꼬 사양(GG/합수) 재검토 및 연결 부위 패턴 이새량 조정</t>
  </si>
  <si>
    <t>Lv 1 + STR</t>
  </si>
  <si>
    <t>초경량 원단(Lv 1) 대비 스트링 팁이나 끈의 하중으로 부착 부위 처짐 발생</t>
  </si>
  <si>
    <t>⚠️ [중량 격차] 초경량 원단-스트링: 부자재 무게에 의한 원단 처짐 및 미어짐 확인</t>
  </si>
  <si>
    <t>스트링 팁 경량화 및 부착 부위 안쪽 보강 테이프/심지 작업</t>
  </si>
  <si>
    <t>P + FNC/STR</t>
  </si>
  <si>
    <t>부자재 이염 테스트(40~60°C/48h) 및 저온 승화 방지 처리 확인</t>
  </si>
  <si>
    <t>⚠️ [이염 주의] 폴리 원단-부자재(팁/라벨): 승화 이염 및 표면 오염 확인</t>
  </si>
  <si>
    <t>NX + FNC</t>
  </si>
  <si>
    <t>⚠️ [구조 주의] 고신축 원단-기능부속(3M/실리콘): 접착 부위 꿀렁임 및 퍼커링 점검</t>
  </si>
  <si>
    <t>부착 부위 장력 최소화 및 신축성 보조 심지 사용 여부 확인</t>
  </si>
  <si>
    <t>폴리 원단의 분산염료가 고온/고습 환경에서 팁(Tip)이나 부자재로 전이됨</t>
  </si>
  <si>
    <t>고신축 원단(NX)에 딱딱한 기능부속(3M, 실리콘) 부착 시 신축 편차로 꿀렁임</t>
  </si>
  <si>
    <t>사고 발생 원리</t>
  </si>
  <si>
    <t>WP / ZIP, SNP</t>
  </si>
  <si>
    <t>코팅-금속 오염</t>
  </si>
  <si>
    <t>코팅면과 금속 부자재의 화학 반응으로 인한 표면 박리 및 오염</t>
  </si>
  <si>
    <t>금속 도금 상태 및 코팅면 이염 테스트 확인</t>
  </si>
  <si>
    <t>Lv 1 / ZIP, SNP, STR</t>
  </si>
  <si>
    <t>초경량 하중 경고</t>
  </si>
  <si>
    <t>얇은 원단이 무거운 금속/스트링 무게를 견디지 못해 처짐 및 미어짐</t>
  </si>
  <si>
    <t>W / TAP, PIP</t>
  </si>
  <si>
    <t>우븐-테이프 축률</t>
  </si>
  <si>
    <t>우븐 몸판과 비신축 테이프 간 세탁 축률 차이로 봉제선 꼬임 발생</t>
  </si>
  <si>
    <t>⚠️ [축률 주의] 우븐-테이프/파이핑: 축률 편차에 의한 봉제선 꼬임 확인</t>
  </si>
  <si>
    <t>테이프 사전 수축 처리 및 몸판 축률 매칭 테스트</t>
  </si>
  <si>
    <t>NX / FNC</t>
  </si>
  <si>
    <t>고신축-접착 꿀렁임</t>
  </si>
  <si>
    <t>고신축 원단에 기능 부속(3M 등) 접착 시 형태 왜곡 및 꿀렁임 발생</t>
  </si>
  <si>
    <t>⚠️ [구조 주의] 고신축 원단-기능부속: 접착 부위 꿀렁임 점검</t>
  </si>
  <si>
    <t>접착 부위 보강 필름 사용 및 압착 온도 최적화 확인</t>
  </si>
  <si>
    <t>P / FNC, STR</t>
  </si>
  <si>
    <t>폴리 승화 이염</t>
  </si>
  <si>
    <t>폴리 원단 염료가 고온/마찰로 인해 라벨/팁 등 부자재로 이동</t>
  </si>
  <si>
    <t>⚠️ [이염 주의] 폴리 원단-부자재: 승화 이염 및 표면 오염 확인</t>
  </si>
  <si>
    <t>승화 이염 방지 처리 및 부자재 고온 변색 테스트</t>
  </si>
  <si>
    <t>Lv 4-5 / TAP, PIP</t>
  </si>
  <si>
    <t>신축 차이 파동</t>
  </si>
  <si>
    <t>고신축 몸판과 비신축 부자재 간의 텐션 차이로 봉제선 파동 발생</t>
  </si>
  <si>
    <t>⚠️ [물성 주의] 고신축 원단-비신축 부자재 간 신축 차이 파동 위험</t>
  </si>
  <si>
    <t>커브 구간 이새 배분 및 테이프 유연성 점검</t>
  </si>
  <si>
    <t>WP / SEA</t>
  </si>
  <si>
    <t>심실링 변형</t>
  </si>
  <si>
    <t>코팅면 열 압착 시 원단 수축 또는 외관 변형(자국) 발생</t>
  </si>
  <si>
    <t>원단 내열 온도 확인 및 롤러 압력/속도 최적화</t>
  </si>
  <si>
    <t>RIB, YOKO / NK</t>
  </si>
  <si>
    <t>넥/에리 안착 불량</t>
  </si>
  <si>
    <t>몸판과 립/요꼬의 물성 불일치로 넥 라인이 들뜨거나 꿀렁임</t>
  </si>
  <si>
    <t>몸판-립 간 편직 밀도 밸런스 및 안착 샘플 확인</t>
  </si>
  <si>
    <t>(NX/CX/ST/P) + (METAL/VS/NY)</t>
  </si>
  <si>
    <t>신축성이 크거나 묵직한 원단과 지퍼의 물성 차이로 인해, 봉제 후 또는 세탁 후 지퍼 라인이 우글거리는 웨이빙(꿀렁임) 현상 발생</t>
  </si>
  <si>
    <t>지퍼 테이프 텐션 조절, 지퍼 부위 비신축 테이프(실크 심지 등) 보강 상태 및 봉제 이새(Ease) 분량 확인</t>
  </si>
  <si>
    <t>Lv 1 + (METAL/VS/NY)</t>
  </si>
  <si>
    <t>초경량(Lv 1) 박지 원단이 지퍼의 무게(하중)를 견디지 못해 봉제선이 처지거나 원단이 미어지는(Seam Slip) 현상 발생</t>
  </si>
  <si>
    <t>지퍼 부착 부위 1인치 폭 이상의 실크 심지 보강 필수, #3호 이하의 경량 지퍼 사양 권장</t>
  </si>
  <si>
    <t>(D/Indigo) + VS</t>
  </si>
  <si>
    <t>인디고(Indigo) 데님 워싱 시 원단의 염료가 플라스틱 소재인 비슬론(VS) 이빨이나 테이프에 침착되어 변색 유발</t>
  </si>
  <si>
    <t>지퍼 이빨 이염 방지 코팅 여부 확인 및 본 작업 투입 전 반드시 워싱 테스트(Washing Test) 실시</t>
  </si>
  <si>
    <t>WP + Non-WR</t>
  </si>
  <si>
    <t>원단은 방수(WP) 기능이 있으나 지퍼가 비방수(일반)인 경우, 지퍼 이빨 사이로 물이 스며들어 제품 전체의 기능성 저하</t>
  </si>
  <si>
    <t>⚠️ [기능성 매칭] 방수 원단+일반 지퍼 사용(발수 확인 필수)</t>
  </si>
  <si>
    <t>지퍼 테이프 발수 처리 상태 확인, 필요시 WR(Water Resistant) 지퍼 교체 또는 지퍼 덮개(Flap) 구조 검토</t>
  </si>
  <si>
    <t>원단 미어짐</t>
    <phoneticPr fontId="1" type="noConversion"/>
  </si>
  <si>
    <t>이염</t>
    <phoneticPr fontId="1" type="noConversion"/>
  </si>
  <si>
    <r>
      <rPr>
        <sz val="11"/>
        <color theme="1"/>
        <rFont val="Segoe UI Emoji"/>
        <family val="2"/>
      </rPr>
      <t>⚠️</t>
    </r>
    <r>
      <rPr>
        <sz val="11"/>
        <color theme="1"/>
        <rFont val="맑은 고딕"/>
        <family val="3"/>
        <charset val="129"/>
        <scheme val="minor"/>
      </rPr>
      <t xml:space="preserve"> [원단 미어짐 주의] 초경량 원단: 지퍼 무게에 의한 처짐 및 미어짐 주의</t>
    </r>
    <phoneticPr fontId="1" type="noConversion"/>
  </si>
  <si>
    <r>
      <rPr>
        <sz val="11"/>
        <color theme="1"/>
        <rFont val="Segoe UI Emoji"/>
        <family val="2"/>
      </rPr>
      <t>⚠️</t>
    </r>
    <r>
      <rPr>
        <sz val="11"/>
        <color theme="1"/>
        <rFont val="맑은 고딕"/>
        <family val="3"/>
        <charset val="129"/>
        <scheme val="minor"/>
      </rPr>
      <t xml:space="preserve"> [지퍼 꿀렁임 주의] 신축 원단+지퍼: 꿀렁임 및 이새 몰림 위험</t>
    </r>
    <phoneticPr fontId="1" type="noConversion"/>
  </si>
  <si>
    <t>체크포인트 (Checklist)</t>
    <phoneticPr fontId="1" type="noConversion"/>
  </si>
  <si>
    <r>
      <rPr>
        <sz val="11"/>
        <color theme="1"/>
        <rFont val="Segoe UI Emoji"/>
        <family val="2"/>
      </rPr>
      <t>⚠️</t>
    </r>
    <r>
      <rPr>
        <sz val="11"/>
        <color theme="1"/>
        <rFont val="맑은 고딕"/>
        <family val="3"/>
        <charset val="129"/>
        <scheme val="minor"/>
      </rPr>
      <t xml:space="preserve"> [오염 및 벗겨짐 주의] 코팅 원단-금속 부자재 오염 및 박리 위험 확인</t>
    </r>
    <phoneticPr fontId="1" type="noConversion"/>
  </si>
  <si>
    <r>
      <rPr>
        <sz val="11"/>
        <color theme="1"/>
        <rFont val="Segoe UI Emoji"/>
        <family val="2"/>
      </rPr>
      <t>⚠️</t>
    </r>
    <r>
      <rPr>
        <sz val="11"/>
        <color theme="1"/>
        <rFont val="맑은 고딕"/>
        <family val="3"/>
        <charset val="129"/>
        <scheme val="minor"/>
      </rPr>
      <t xml:space="preserve"> [외관 불량] 고신축 소재: 넥 라인 늘어남 방지 공정 확인</t>
    </r>
    <phoneticPr fontId="1" type="noConversion"/>
  </si>
  <si>
    <t>오염 및 벗겨짐</t>
    <phoneticPr fontId="1" type="noConversion"/>
  </si>
  <si>
    <t>외관 불량</t>
    <phoneticPr fontId="1" type="noConversion"/>
  </si>
  <si>
    <t>부자재 하단 보강 심지 면적 확대 및 원단 신축성 체크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</si>
</sst>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_(* #,##0_);_(* \(#,##0\);_(* &quot;-&quot;_);_(@_)"/>
    <numFmt numFmtId="177" formatCode="_-[$$-409]* #,##0.00_ ;_-[$$-409]* \-#,##0.00\ ;_-[$$-409]* &quot;-&quot;??_ ;_-@_ "/>
    <numFmt numFmtId="178" formatCode="0_);[Red]\(0\)"/>
  </numFmts>
  <fonts count="44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5"/>
      <name val="맑은 고딕"/>
      <family val="3"/>
      <charset val="129"/>
      <scheme val="minor"/>
    </font>
    <font>
      <sz val="15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11"/>
      <color rgb="FF000000"/>
      <name val="맑은 고딕"/>
      <family val="3"/>
      <charset val="129"/>
    </font>
    <font>
      <sz val="11"/>
      <color rgb="FF000000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2"/>
      <charset val="129"/>
    </font>
    <font>
      <sz val="11"/>
      <color indexed="8"/>
      <name val="돋움"/>
      <family val="3"/>
      <charset val="129"/>
    </font>
    <font>
      <sz val="16"/>
      <color theme="1"/>
      <name val="맑은 고딕"/>
      <family val="3"/>
      <charset val="129"/>
      <scheme val="minor"/>
    </font>
    <font>
      <b/>
      <sz val="16"/>
      <color theme="0"/>
      <name val="맑은 고딕"/>
      <family val="3"/>
      <charset val="129"/>
      <scheme val="minor"/>
    </font>
    <font>
      <b/>
      <sz val="16"/>
      <name val="맑은 고딕"/>
      <family val="3"/>
      <charset val="129"/>
      <scheme val="minor"/>
    </font>
    <font>
      <sz val="16"/>
      <name val="맑은 고딕"/>
      <family val="3"/>
      <charset val="129"/>
      <scheme val="minor"/>
    </font>
    <font>
      <sz val="16"/>
      <name val="맑은 고딕"/>
      <family val="2"/>
      <charset val="129"/>
      <scheme val="minor"/>
    </font>
    <font>
      <sz val="16"/>
      <color indexed="8"/>
      <name val="맑은 고딕"/>
      <family val="2"/>
      <charset val="129"/>
      <scheme val="minor"/>
    </font>
    <font>
      <sz val="16"/>
      <color indexed="8"/>
      <name val="맑은 고딕"/>
      <family val="3"/>
      <charset val="129"/>
      <scheme val="minor"/>
    </font>
    <font>
      <sz val="16"/>
      <color indexed="8"/>
      <name val="맑은 고딕"/>
      <family val="3"/>
      <scheme val="minor"/>
    </font>
    <font>
      <sz val="16"/>
      <color rgb="FF000000"/>
      <name val="돋움"/>
      <family val="3"/>
    </font>
    <font>
      <sz val="16"/>
      <name val="맑은 고딕"/>
      <family val="3"/>
    </font>
    <font>
      <sz val="16"/>
      <color rgb="FF000000"/>
      <name val="맑은 고딕"/>
      <family val="3"/>
      <charset val="129"/>
      <scheme val="minor"/>
    </font>
    <font>
      <sz val="16"/>
      <color theme="1"/>
      <name val="맑은 고딕"/>
      <family val="2"/>
      <charset val="129"/>
      <scheme val="minor"/>
    </font>
    <font>
      <sz val="16"/>
      <color theme="1"/>
      <name val="Microsoft YaHei"/>
      <family val="2"/>
      <charset val="134"/>
    </font>
    <font>
      <sz val="16"/>
      <color theme="1"/>
      <name val="맑은 고딕"/>
      <family val="2"/>
      <charset val="134"/>
      <scheme val="minor"/>
    </font>
    <font>
      <sz val="16"/>
      <color rgb="FF000000"/>
      <name val="Microsoft YaHei"/>
      <family val="2"/>
      <charset val="134"/>
    </font>
    <font>
      <sz val="16"/>
      <color rgb="FF000000"/>
      <name val="맑은 고딕"/>
      <family val="2"/>
      <scheme val="minor"/>
    </font>
    <font>
      <sz val="16"/>
      <color rgb="FF000000"/>
      <name val="맑은 고딕"/>
      <family val="2"/>
      <charset val="134"/>
      <scheme val="minor"/>
    </font>
    <font>
      <sz val="16"/>
      <color rgb="FF000000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b/>
      <sz val="13.5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0"/>
      <color theme="1"/>
      <name val="Arial Unicode MS"/>
      <family val="2"/>
    </font>
    <font>
      <sz val="10"/>
      <color theme="1"/>
      <name val="맑은 고딕"/>
      <family val="3"/>
      <charset val="129"/>
    </font>
    <font>
      <sz val="10"/>
      <color theme="1"/>
      <name val="Arial"/>
      <family val="2"/>
    </font>
    <font>
      <sz val="18"/>
      <color theme="1"/>
      <name val="맑은 고딕"/>
      <family val="3"/>
      <charset val="129"/>
      <scheme val="minor"/>
    </font>
    <font>
      <b/>
      <sz val="16"/>
      <color rgb="FFFFFFFF"/>
      <name val="맑은 고딕"/>
      <family val="3"/>
      <charset val="129"/>
      <scheme val="minor"/>
    </font>
    <font>
      <sz val="16"/>
      <color rgb="FF000000"/>
      <name val="돋움"/>
      <family val="3"/>
      <charset val="129"/>
    </font>
    <font>
      <b/>
      <sz val="15"/>
      <color rgb="FFFFFFFF"/>
      <name val="맑은 고딕"/>
      <family val="3"/>
      <charset val="129"/>
      <scheme val="minor"/>
    </font>
    <font>
      <sz val="15"/>
      <color rgb="FF000000"/>
      <name val="맑은 고딕"/>
      <family val="3"/>
      <charset val="129"/>
      <scheme val="minor"/>
    </font>
    <font>
      <b/>
      <sz val="20"/>
      <color theme="0"/>
      <name val="맑은 고딕"/>
      <family val="3"/>
      <charset val="129"/>
      <scheme val="minor"/>
    </font>
    <font>
      <sz val="20"/>
      <color theme="0"/>
      <name val="맑은 고딕"/>
      <family val="3"/>
      <charset val="129"/>
      <scheme val="minor"/>
    </font>
    <font>
      <sz val="11"/>
      <color theme="1"/>
      <name val="Segoe UI Emoji"/>
      <family val="2"/>
    </font>
  </fonts>
  <fills count="13">
    <fill>
      <patternFill patternType="none"/>
    </fill>
    <fill>
      <patternFill patternType="gray125"/>
    </fill>
    <fill>
      <patternFill patternType="solid">
        <fgColor theme="3" tint="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215C98"/>
        <bgColor rgb="FF000000"/>
      </patternFill>
    </fill>
    <fill>
      <patternFill patternType="solid">
        <fgColor rgb="FFFFFF00"/>
        <bgColor rgb="FF000000"/>
      </patternFill>
    </fill>
  </fills>
  <borders count="3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indexed="64"/>
      </right>
      <top style="medium">
        <color rgb="FF00000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indexed="64"/>
      </right>
      <top style="thin">
        <color indexed="64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rgb="FFE6E6E6"/>
      </left>
      <right style="medium">
        <color rgb="FFE6E6E6"/>
      </right>
      <top style="medium">
        <color rgb="FFE6E6E6"/>
      </top>
      <bottom style="medium">
        <color rgb="FFE6E6E6"/>
      </bottom>
      <diagonal/>
    </border>
    <border>
      <left/>
      <right/>
      <top/>
      <bottom style="medium">
        <color rgb="FFE6E6E6"/>
      </bottom>
      <diagonal/>
    </border>
    <border>
      <left style="thin">
        <color indexed="64"/>
      </left>
      <right/>
      <top style="medium">
        <color rgb="FF000000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rgb="FF000000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rgb="FFE6E6E6"/>
      </right>
      <top style="medium">
        <color rgb="FFE6E6E6"/>
      </top>
      <bottom style="medium">
        <color rgb="FFE6E6E6"/>
      </bottom>
      <diagonal/>
    </border>
  </borders>
  <cellStyleXfs count="43">
    <xf numFmtId="0" fontId="0" fillId="0" borderId="0">
      <alignment vertical="center"/>
    </xf>
    <xf numFmtId="176" fontId="5" fillId="0" borderId="0" applyFont="0" applyFill="0" applyBorder="0" applyAlignment="0" applyProtection="0"/>
    <xf numFmtId="0" fontId="6" fillId="0" borderId="0">
      <alignment vertical="center"/>
    </xf>
    <xf numFmtId="0" fontId="5" fillId="0" borderId="0"/>
    <xf numFmtId="176" fontId="5" fillId="0" borderId="0" applyFont="0" applyFill="0" applyBorder="0" applyAlignment="0" applyProtection="0"/>
    <xf numFmtId="0" fontId="5" fillId="0" borderId="0"/>
    <xf numFmtId="0" fontId="6" fillId="0" borderId="0">
      <alignment vertical="center"/>
    </xf>
    <xf numFmtId="0" fontId="5" fillId="0" borderId="0"/>
    <xf numFmtId="0" fontId="7" fillId="0" borderId="0"/>
    <xf numFmtId="0" fontId="4" fillId="0" borderId="0">
      <alignment vertical="center"/>
    </xf>
    <xf numFmtId="176" fontId="4" fillId="0" borderId="0" applyFont="0" applyFill="0" applyBorder="0" applyAlignment="0" applyProtection="0">
      <alignment vertical="center"/>
    </xf>
    <xf numFmtId="0" fontId="8" fillId="0" borderId="0">
      <alignment vertical="center"/>
    </xf>
    <xf numFmtId="176" fontId="5" fillId="0" borderId="0" applyFont="0" applyFill="0" applyBorder="0" applyAlignment="0" applyProtection="0"/>
    <xf numFmtId="177" fontId="5" fillId="0" borderId="0"/>
    <xf numFmtId="0" fontId="5" fillId="0" borderId="0"/>
    <xf numFmtId="177" fontId="4" fillId="0" borderId="0"/>
    <xf numFmtId="176" fontId="5" fillId="0" borderId="0" applyFont="0" applyFill="0" applyBorder="0" applyAlignment="0" applyProtection="0"/>
    <xf numFmtId="177" fontId="4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5" fillId="0" borderId="0"/>
    <xf numFmtId="0" fontId="9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176" fontId="10" fillId="0" borderId="0"/>
    <xf numFmtId="0" fontId="4" fillId="0" borderId="0"/>
    <xf numFmtId="0" fontId="8" fillId="0" borderId="0">
      <alignment vertical="center"/>
    </xf>
    <xf numFmtId="177" fontId="4" fillId="0" borderId="0"/>
    <xf numFmtId="177" fontId="5" fillId="0" borderId="0"/>
    <xf numFmtId="177" fontId="4" fillId="0" borderId="0"/>
    <xf numFmtId="0" fontId="8" fillId="0" borderId="0">
      <alignment vertical="center"/>
    </xf>
    <xf numFmtId="0" fontId="4" fillId="0" borderId="0">
      <alignment vertical="center"/>
    </xf>
    <xf numFmtId="176" fontId="4" fillId="0" borderId="0" applyFont="0" applyFill="0" applyBorder="0" applyAlignment="0" applyProtection="0"/>
    <xf numFmtId="0" fontId="8" fillId="0" borderId="0">
      <alignment vertical="center"/>
    </xf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8" fillId="0" borderId="0">
      <alignment vertical="center"/>
    </xf>
    <xf numFmtId="0" fontId="9" fillId="0" borderId="0">
      <alignment vertical="center"/>
    </xf>
    <xf numFmtId="176" fontId="9" fillId="0" borderId="0" applyFont="0" applyFill="0" applyBorder="0" applyAlignment="0" applyProtection="0">
      <alignment vertical="center"/>
    </xf>
  </cellStyleXfs>
  <cellXfs count="175">
    <xf numFmtId="0" fontId="0" fillId="0" borderId="0" xfId="0">
      <alignment vertical="center"/>
    </xf>
    <xf numFmtId="0" fontId="3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4" fillId="4" borderId="1" xfId="0" applyFont="1" applyFill="1" applyBorder="1" applyAlignment="1">
      <alignment horizontal="center" vertical="center"/>
    </xf>
    <xf numFmtId="0" fontId="16" fillId="3" borderId="1" xfId="0" applyFont="1" applyFill="1" applyBorder="1" applyAlignment="1">
      <alignment horizontal="center" vertical="center"/>
    </xf>
    <xf numFmtId="0" fontId="14" fillId="0" borderId="1" xfId="11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 shrinkToFit="1"/>
    </xf>
    <xf numFmtId="177" fontId="14" fillId="0" borderId="1" xfId="15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9" fillId="3" borderId="1" xfId="8" applyFont="1" applyFill="1" applyBorder="1" applyAlignment="1">
      <alignment horizontal="center" vertical="center" shrinkToFit="1"/>
    </xf>
    <xf numFmtId="0" fontId="18" fillId="3" borderId="1" xfId="2" applyFont="1" applyFill="1" applyBorder="1" applyAlignment="1">
      <alignment horizontal="center" vertical="center" wrapText="1"/>
    </xf>
    <xf numFmtId="0" fontId="20" fillId="0" borderId="1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 shrinkToFit="1"/>
    </xf>
    <xf numFmtId="0" fontId="14" fillId="0" borderId="1" xfId="21" applyFont="1" applyBorder="1" applyAlignment="1">
      <alignment horizontal="center" vertical="center"/>
    </xf>
    <xf numFmtId="0" fontId="21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22" fillId="0" borderId="4" xfId="0" applyFont="1" applyBorder="1" applyAlignment="1">
      <alignment horizontal="center" vertical="center"/>
    </xf>
    <xf numFmtId="0" fontId="22" fillId="0" borderId="4" xfId="0" applyFont="1" applyBorder="1" applyAlignment="1">
      <alignment horizontal="center" vertical="center" wrapText="1"/>
    </xf>
    <xf numFmtId="0" fontId="22" fillId="0" borderId="1" xfId="0" applyFont="1" applyBorder="1" applyAlignment="1">
      <alignment horizontal="center" vertical="center"/>
    </xf>
    <xf numFmtId="0" fontId="22" fillId="0" borderId="1" xfId="0" applyFont="1" applyBorder="1" applyAlignment="1">
      <alignment horizontal="center" vertical="center" wrapText="1"/>
    </xf>
    <xf numFmtId="0" fontId="22" fillId="0" borderId="8" xfId="0" applyFont="1" applyBorder="1" applyAlignment="1">
      <alignment horizontal="center" vertical="center"/>
    </xf>
    <xf numFmtId="0" fontId="21" fillId="0" borderId="4" xfId="0" applyFont="1" applyBorder="1" applyAlignment="1">
      <alignment horizontal="center" vertical="center"/>
    </xf>
    <xf numFmtId="0" fontId="21" fillId="0" borderId="4" xfId="0" applyFont="1" applyBorder="1" applyAlignment="1">
      <alignment horizontal="center" vertical="center" wrapText="1"/>
    </xf>
    <xf numFmtId="0" fontId="22" fillId="0" borderId="8" xfId="0" applyFont="1" applyBorder="1" applyAlignment="1">
      <alignment horizontal="center" vertical="center" wrapText="1"/>
    </xf>
    <xf numFmtId="0" fontId="23" fillId="0" borderId="1" xfId="0" applyFont="1" applyBorder="1" applyAlignment="1">
      <alignment horizontal="center" vertical="center"/>
    </xf>
    <xf numFmtId="0" fontId="24" fillId="0" borderId="1" xfId="0" applyFont="1" applyBorder="1" applyAlignment="1">
      <alignment horizontal="center" vertical="center"/>
    </xf>
    <xf numFmtId="0" fontId="22" fillId="0" borderId="0" xfId="0" applyFont="1">
      <alignment vertical="center"/>
    </xf>
    <xf numFmtId="0" fontId="14" fillId="0" borderId="1" xfId="3" applyFont="1" applyBorder="1" applyAlignment="1">
      <alignment horizontal="center" vertical="center" wrapText="1"/>
    </xf>
    <xf numFmtId="0" fontId="18" fillId="3" borderId="1" xfId="2" applyFont="1" applyFill="1" applyBorder="1" applyAlignment="1">
      <alignment horizontal="center" vertical="center" shrinkToFit="1"/>
    </xf>
    <xf numFmtId="0" fontId="14" fillId="0" borderId="15" xfId="0" applyFont="1" applyBorder="1" applyAlignment="1">
      <alignment horizontal="center" vertical="center"/>
    </xf>
    <xf numFmtId="0" fontId="22" fillId="0" borderId="10" xfId="0" applyFont="1" applyBorder="1" applyAlignment="1">
      <alignment horizontal="center" vertical="center"/>
    </xf>
    <xf numFmtId="177" fontId="14" fillId="3" borderId="1" xfId="13" applyFont="1" applyFill="1" applyBorder="1" applyAlignment="1">
      <alignment horizontal="center" vertical="center"/>
    </xf>
    <xf numFmtId="0" fontId="11" fillId="0" borderId="1" xfId="3" applyFont="1" applyBorder="1" applyAlignment="1">
      <alignment horizontal="center" vertical="center"/>
    </xf>
    <xf numFmtId="177" fontId="16" fillId="0" borderId="4" xfId="17" applyFont="1" applyBorder="1" applyAlignment="1">
      <alignment horizontal="center" vertical="center"/>
    </xf>
    <xf numFmtId="1" fontId="14" fillId="0" borderId="4" xfId="0" applyNumberFormat="1" applyFont="1" applyBorder="1" applyAlignment="1">
      <alignment horizontal="center" vertical="center" wrapText="1"/>
    </xf>
    <xf numFmtId="0" fontId="20" fillId="3" borderId="1" xfId="0" applyFont="1" applyFill="1" applyBorder="1" applyAlignment="1">
      <alignment horizontal="center" vertical="center"/>
    </xf>
    <xf numFmtId="0" fontId="14" fillId="3" borderId="1" xfId="0" applyFont="1" applyFill="1" applyBorder="1" applyAlignment="1">
      <alignment horizontal="center" vertical="center" wrapText="1"/>
    </xf>
    <xf numFmtId="0" fontId="14" fillId="3" borderId="1" xfId="21" applyFont="1" applyFill="1" applyBorder="1" applyAlignment="1">
      <alignment horizontal="center" vertical="center"/>
    </xf>
    <xf numFmtId="0" fontId="14" fillId="3" borderId="1" xfId="21" applyFont="1" applyFill="1" applyBorder="1" applyAlignment="1">
      <alignment horizontal="center" vertical="center" wrapText="1"/>
    </xf>
    <xf numFmtId="0" fontId="14" fillId="0" borderId="1" xfId="21" applyFont="1" applyBorder="1" applyAlignment="1">
      <alignment horizontal="center" vertical="center" wrapText="1"/>
    </xf>
    <xf numFmtId="0" fontId="17" fillId="0" borderId="1" xfId="21" applyFont="1" applyBorder="1" applyAlignment="1">
      <alignment horizontal="center" vertical="center" wrapText="1"/>
    </xf>
    <xf numFmtId="0" fontId="14" fillId="3" borderId="9" xfId="21" applyFont="1" applyFill="1" applyBorder="1" applyAlignment="1">
      <alignment horizontal="center" vertical="center"/>
    </xf>
    <xf numFmtId="0" fontId="15" fillId="3" borderId="1" xfId="14" applyFont="1" applyFill="1" applyBorder="1" applyAlignment="1">
      <alignment horizontal="center" vertical="center" shrinkToFit="1"/>
    </xf>
    <xf numFmtId="0" fontId="11" fillId="0" borderId="1" xfId="0" applyFont="1" applyBorder="1" applyAlignment="1">
      <alignment horizontal="center" vertical="center" shrinkToFit="1"/>
    </xf>
    <xf numFmtId="177" fontId="16" fillId="0" borderId="4" xfId="17" applyFont="1" applyBorder="1" applyAlignment="1">
      <alignment horizontal="center" vertical="center" shrinkToFit="1"/>
    </xf>
    <xf numFmtId="0" fontId="17" fillId="0" borderId="1" xfId="21" applyFont="1" applyBorder="1" applyAlignment="1">
      <alignment horizontal="center" vertical="center" shrinkToFit="1"/>
    </xf>
    <xf numFmtId="0" fontId="14" fillId="3" borderId="9" xfId="21" applyFont="1" applyFill="1" applyBorder="1" applyAlignment="1">
      <alignment horizontal="center" vertical="center" shrinkToFit="1"/>
    </xf>
    <xf numFmtId="0" fontId="12" fillId="2" borderId="16" xfId="0" applyFont="1" applyFill="1" applyBorder="1" applyAlignment="1">
      <alignment horizontal="center" vertical="center"/>
    </xf>
    <xf numFmtId="0" fontId="12" fillId="2" borderId="17" xfId="0" applyFont="1" applyFill="1" applyBorder="1" applyAlignment="1">
      <alignment horizontal="center" vertical="center"/>
    </xf>
    <xf numFmtId="0" fontId="12" fillId="2" borderId="17" xfId="0" applyFont="1" applyFill="1" applyBorder="1" applyAlignment="1">
      <alignment horizontal="center" vertical="center" wrapText="1"/>
    </xf>
    <xf numFmtId="0" fontId="22" fillId="0" borderId="18" xfId="0" applyFont="1" applyBorder="1" applyAlignment="1">
      <alignment horizontal="center" vertical="center"/>
    </xf>
    <xf numFmtId="0" fontId="22" fillId="0" borderId="19" xfId="0" applyFont="1" applyBorder="1" applyAlignment="1">
      <alignment horizontal="center" vertical="center"/>
    </xf>
    <xf numFmtId="0" fontId="24" fillId="0" borderId="19" xfId="0" applyFont="1" applyBorder="1" applyAlignment="1">
      <alignment horizontal="center" vertical="center"/>
    </xf>
    <xf numFmtId="0" fontId="24" fillId="0" borderId="20" xfId="0" applyFont="1" applyBorder="1" applyAlignment="1">
      <alignment horizontal="center" vertical="center"/>
    </xf>
    <xf numFmtId="0" fontId="24" fillId="0" borderId="21" xfId="0" applyFont="1" applyBorder="1" applyAlignment="1">
      <alignment horizontal="center" vertical="center"/>
    </xf>
    <xf numFmtId="0" fontId="22" fillId="0" borderId="21" xfId="0" applyFont="1" applyBorder="1" applyAlignment="1">
      <alignment horizontal="center" vertical="center"/>
    </xf>
    <xf numFmtId="0" fontId="14" fillId="0" borderId="21" xfId="0" applyFont="1" applyBorder="1" applyAlignment="1">
      <alignment horizontal="center" vertical="center"/>
    </xf>
    <xf numFmtId="0" fontId="14" fillId="0" borderId="21" xfId="0" applyFont="1" applyBorder="1" applyAlignment="1">
      <alignment horizontal="center" vertical="center" wrapText="1"/>
    </xf>
    <xf numFmtId="0" fontId="14" fillId="0" borderId="21" xfId="0" applyFont="1" applyBorder="1" applyAlignment="1">
      <alignment horizontal="center" vertical="center" shrinkToFit="1"/>
    </xf>
    <xf numFmtId="178" fontId="14" fillId="0" borderId="21" xfId="0" applyNumberFormat="1" applyFont="1" applyBorder="1" applyAlignment="1">
      <alignment horizontal="center" vertical="center"/>
    </xf>
    <xf numFmtId="0" fontId="22" fillId="0" borderId="13" xfId="0" applyFont="1" applyBorder="1" applyAlignment="1">
      <alignment horizontal="center" vertical="center"/>
    </xf>
    <xf numFmtId="0" fontId="22" fillId="0" borderId="22" xfId="0" applyFont="1" applyBorder="1" applyAlignment="1">
      <alignment horizontal="center" vertical="center"/>
    </xf>
    <xf numFmtId="0" fontId="27" fillId="0" borderId="1" xfId="0" applyFont="1" applyBorder="1" applyAlignment="1">
      <alignment horizontal="center" vertical="center"/>
    </xf>
    <xf numFmtId="0" fontId="28" fillId="0" borderId="1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22" fillId="0" borderId="0" xfId="0" applyFont="1" applyAlignment="1">
      <alignment horizontal="left" vertical="center"/>
    </xf>
    <xf numFmtId="0" fontId="8" fillId="0" borderId="0" xfId="0" applyFont="1">
      <alignment vertical="center"/>
    </xf>
    <xf numFmtId="0" fontId="8" fillId="0" borderId="25" xfId="0" applyFont="1" applyBorder="1" applyAlignment="1">
      <alignment vertical="center" wrapText="1"/>
    </xf>
    <xf numFmtId="0" fontId="8" fillId="5" borderId="25" xfId="0" applyFont="1" applyFill="1" applyBorder="1" applyAlignment="1">
      <alignment vertical="center" wrapText="1"/>
    </xf>
    <xf numFmtId="0" fontId="29" fillId="6" borderId="25" xfId="0" applyFont="1" applyFill="1" applyBorder="1" applyAlignment="1">
      <alignment horizontal="center" vertical="center" wrapText="1"/>
    </xf>
    <xf numFmtId="0" fontId="30" fillId="0" borderId="0" xfId="0" applyFont="1">
      <alignment vertical="center"/>
    </xf>
    <xf numFmtId="0" fontId="33" fillId="0" borderId="0" xfId="0" applyFont="1">
      <alignment vertical="center"/>
    </xf>
    <xf numFmtId="0" fontId="12" fillId="2" borderId="27" xfId="0" applyFont="1" applyFill="1" applyBorder="1" applyAlignment="1">
      <alignment horizontal="center" vertical="center"/>
    </xf>
    <xf numFmtId="0" fontId="22" fillId="0" borderId="7" xfId="0" applyFont="1" applyBorder="1" applyAlignment="1">
      <alignment horizontal="center" vertical="center"/>
    </xf>
    <xf numFmtId="0" fontId="22" fillId="0" borderId="28" xfId="0" applyFont="1" applyBorder="1" applyAlignment="1">
      <alignment horizontal="center" vertical="center" wrapText="1"/>
    </xf>
    <xf numFmtId="0" fontId="12" fillId="9" borderId="1" xfId="0" applyFont="1" applyFill="1" applyBorder="1" applyAlignment="1">
      <alignment horizontal="center" vertical="center" wrapText="1"/>
    </xf>
    <xf numFmtId="0" fontId="22" fillId="8" borderId="1" xfId="0" applyFont="1" applyFill="1" applyBorder="1" applyAlignment="1">
      <alignment horizontal="center" vertical="center"/>
    </xf>
    <xf numFmtId="0" fontId="22" fillId="0" borderId="1" xfId="0" applyFont="1" applyBorder="1" applyAlignment="1">
      <alignment horizontal="left" vertical="center"/>
    </xf>
    <xf numFmtId="0" fontId="12" fillId="10" borderId="1" xfId="0" applyFont="1" applyFill="1" applyBorder="1" applyAlignment="1">
      <alignment horizontal="center" vertical="center"/>
    </xf>
    <xf numFmtId="0" fontId="12" fillId="10" borderId="1" xfId="0" applyFont="1" applyFill="1" applyBorder="1" applyAlignment="1">
      <alignment horizontal="center" vertical="center" wrapText="1"/>
    </xf>
    <xf numFmtId="0" fontId="36" fillId="0" borderId="0" xfId="0" applyFont="1" applyAlignment="1">
      <alignment horizontal="center" vertical="center"/>
    </xf>
    <xf numFmtId="0" fontId="36" fillId="0" borderId="0" xfId="0" applyFont="1">
      <alignment vertical="center"/>
    </xf>
    <xf numFmtId="0" fontId="37" fillId="11" borderId="1" xfId="0" applyFont="1" applyFill="1" applyBorder="1" applyAlignment="1">
      <alignment horizontal="center" vertical="center"/>
    </xf>
    <xf numFmtId="0" fontId="21" fillId="0" borderId="1" xfId="0" applyFont="1" applyBorder="1" applyAlignment="1">
      <alignment horizontal="center" vertical="center"/>
    </xf>
    <xf numFmtId="0" fontId="21" fillId="0" borderId="0" xfId="0" applyFont="1">
      <alignment vertical="center"/>
    </xf>
    <xf numFmtId="0" fontId="21" fillId="12" borderId="1" xfId="0" applyFont="1" applyFill="1" applyBorder="1" applyAlignment="1">
      <alignment horizontal="center" vertical="center"/>
    </xf>
    <xf numFmtId="0" fontId="21" fillId="12" borderId="1" xfId="0" applyFont="1" applyFill="1" applyBorder="1" applyAlignment="1">
      <alignment horizontal="center" vertical="center" wrapText="1"/>
    </xf>
    <xf numFmtId="0" fontId="37" fillId="11" borderId="1" xfId="0" applyFont="1" applyFill="1" applyBorder="1" applyAlignment="1">
      <alignment horizontal="center" vertical="center" wrapText="1"/>
    </xf>
    <xf numFmtId="0" fontId="13" fillId="12" borderId="1" xfId="0" applyFont="1" applyFill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21" fillId="0" borderId="13" xfId="0" applyFont="1" applyBorder="1" applyAlignment="1">
      <alignment horizontal="center" vertical="center"/>
    </xf>
    <xf numFmtId="0" fontId="21" fillId="0" borderId="13" xfId="0" applyFont="1" applyBorder="1" applyAlignment="1">
      <alignment horizontal="center" vertical="center" wrapText="1"/>
    </xf>
    <xf numFmtId="0" fontId="21" fillId="4" borderId="1" xfId="0" applyFont="1" applyFill="1" applyBorder="1" applyAlignment="1">
      <alignment horizontal="center" vertical="center"/>
    </xf>
    <xf numFmtId="0" fontId="14" fillId="0" borderId="13" xfId="0" applyFont="1" applyBorder="1" applyAlignment="1">
      <alignment horizontal="center" vertical="center"/>
    </xf>
    <xf numFmtId="0" fontId="14" fillId="0" borderId="13" xfId="0" applyFont="1" applyBorder="1" applyAlignment="1">
      <alignment horizontal="center" vertical="center" wrapText="1"/>
    </xf>
    <xf numFmtId="0" fontId="37" fillId="11" borderId="5" xfId="0" applyFont="1" applyFill="1" applyBorder="1" applyAlignment="1">
      <alignment horizontal="center" vertical="center"/>
    </xf>
    <xf numFmtId="0" fontId="37" fillId="11" borderId="12" xfId="0" applyFont="1" applyFill="1" applyBorder="1" applyAlignment="1">
      <alignment horizontal="center" vertical="center"/>
    </xf>
    <xf numFmtId="0" fontId="37" fillId="11" borderId="6" xfId="0" applyFont="1" applyFill="1" applyBorder="1" applyAlignment="1">
      <alignment horizontal="center" vertical="center"/>
    </xf>
    <xf numFmtId="0" fontId="37" fillId="11" borderId="0" xfId="0" applyFont="1" applyFill="1" applyAlignment="1">
      <alignment horizontal="center" vertical="center"/>
    </xf>
    <xf numFmtId="0" fontId="21" fillId="0" borderId="2" xfId="0" applyFont="1" applyBorder="1" applyAlignment="1">
      <alignment horizontal="center" vertical="center"/>
    </xf>
    <xf numFmtId="0" fontId="21" fillId="0" borderId="9" xfId="0" applyFont="1" applyBorder="1" applyAlignment="1">
      <alignment horizontal="center" vertical="center"/>
    </xf>
    <xf numFmtId="0" fontId="21" fillId="0" borderId="8" xfId="0" applyFont="1" applyBorder="1" applyAlignment="1">
      <alignment horizontal="center" vertical="center"/>
    </xf>
    <xf numFmtId="0" fontId="14" fillId="4" borderId="1" xfId="0" applyFont="1" applyFill="1" applyBorder="1" applyAlignment="1">
      <alignment horizontal="center" vertical="center" wrapText="1"/>
    </xf>
    <xf numFmtId="0" fontId="37" fillId="11" borderId="23" xfId="0" applyFont="1" applyFill="1" applyBorder="1" applyAlignment="1">
      <alignment horizontal="center" vertical="center"/>
    </xf>
    <xf numFmtId="0" fontId="37" fillId="11" borderId="32" xfId="0" applyFont="1" applyFill="1" applyBorder="1" applyAlignment="1">
      <alignment horizontal="center" vertical="center"/>
    </xf>
    <xf numFmtId="0" fontId="37" fillId="11" borderId="24" xfId="0" applyFont="1" applyFill="1" applyBorder="1" applyAlignment="1">
      <alignment horizontal="center" vertical="center"/>
    </xf>
    <xf numFmtId="0" fontId="37" fillId="11" borderId="24" xfId="0" applyFont="1" applyFill="1" applyBorder="1" applyAlignment="1">
      <alignment horizontal="center" vertical="center" wrapText="1"/>
    </xf>
    <xf numFmtId="0" fontId="13" fillId="12" borderId="30" xfId="0" applyFont="1" applyFill="1" applyBorder="1" applyAlignment="1">
      <alignment horizontal="center" vertical="center"/>
    </xf>
    <xf numFmtId="0" fontId="40" fillId="0" borderId="0" xfId="0" applyFont="1">
      <alignment vertical="center"/>
    </xf>
    <xf numFmtId="0" fontId="40" fillId="0" borderId="0" xfId="0" applyFont="1" applyAlignment="1">
      <alignment horizontal="center" vertical="center"/>
    </xf>
    <xf numFmtId="0" fontId="40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 vertical="center" wrapText="1"/>
    </xf>
    <xf numFmtId="0" fontId="21" fillId="0" borderId="13" xfId="0" applyFont="1" applyBorder="1">
      <alignment vertical="center"/>
    </xf>
    <xf numFmtId="0" fontId="21" fillId="0" borderId="29" xfId="0" applyFont="1" applyBorder="1" applyAlignment="1">
      <alignment horizontal="center" vertical="center"/>
    </xf>
    <xf numFmtId="0" fontId="21" fillId="4" borderId="13" xfId="0" applyFont="1" applyFill="1" applyBorder="1" applyAlignment="1">
      <alignment horizontal="center" vertical="center"/>
    </xf>
    <xf numFmtId="0" fontId="21" fillId="0" borderId="31" xfId="0" applyFont="1" applyBorder="1" applyAlignment="1">
      <alignment horizontal="center" vertical="center"/>
    </xf>
    <xf numFmtId="0" fontId="14" fillId="4" borderId="13" xfId="0" applyFont="1" applyFill="1" applyBorder="1" applyAlignment="1">
      <alignment horizontal="center" vertical="center" wrapText="1"/>
    </xf>
    <xf numFmtId="0" fontId="38" fillId="4" borderId="13" xfId="0" applyFont="1" applyFill="1" applyBorder="1" applyAlignment="1">
      <alignment horizontal="center" vertical="center"/>
    </xf>
    <xf numFmtId="0" fontId="21" fillId="4" borderId="13" xfId="0" applyFont="1" applyFill="1" applyBorder="1" applyAlignment="1">
      <alignment horizontal="center" vertical="center" wrapText="1"/>
    </xf>
    <xf numFmtId="0" fontId="12" fillId="10" borderId="0" xfId="0" applyFont="1" applyFill="1" applyAlignment="1">
      <alignment horizontal="center" vertical="center"/>
    </xf>
    <xf numFmtId="0" fontId="22" fillId="0" borderId="9" xfId="0" applyFont="1" applyBorder="1" applyAlignment="1">
      <alignment horizontal="center" vertical="center"/>
    </xf>
    <xf numFmtId="0" fontId="24" fillId="0" borderId="10" xfId="0" applyFont="1" applyBorder="1" applyAlignment="1">
      <alignment horizontal="center" vertical="center"/>
    </xf>
    <xf numFmtId="0" fontId="24" fillId="0" borderId="33" xfId="0" applyFont="1" applyBorder="1" applyAlignment="1">
      <alignment horizontal="center" vertical="center"/>
    </xf>
    <xf numFmtId="0" fontId="41" fillId="10" borderId="1" xfId="0" applyFont="1" applyFill="1" applyBorder="1">
      <alignment vertical="center"/>
    </xf>
    <xf numFmtId="0" fontId="42" fillId="10" borderId="1" xfId="0" applyFont="1" applyFill="1" applyBorder="1">
      <alignment vertical="center"/>
    </xf>
    <xf numFmtId="0" fontId="29" fillId="8" borderId="1" xfId="0" applyFont="1" applyFill="1" applyBorder="1">
      <alignment vertical="center"/>
    </xf>
    <xf numFmtId="0" fontId="0" fillId="0" borderId="1" xfId="0" applyBorder="1">
      <alignment vertical="center"/>
    </xf>
    <xf numFmtId="0" fontId="8" fillId="0" borderId="1" xfId="0" applyFont="1" applyBorder="1">
      <alignment vertical="center"/>
    </xf>
    <xf numFmtId="0" fontId="12" fillId="9" borderId="1" xfId="0" applyFont="1" applyFill="1" applyBorder="1" applyAlignment="1">
      <alignment horizontal="center" vertical="center"/>
    </xf>
    <xf numFmtId="0" fontId="11" fillId="5" borderId="1" xfId="0" applyFont="1" applyFill="1" applyBorder="1" applyAlignment="1">
      <alignment horizontal="center" vertical="center"/>
    </xf>
    <xf numFmtId="0" fontId="11" fillId="8" borderId="1" xfId="0" applyFont="1" applyFill="1" applyBorder="1" applyAlignment="1">
      <alignment horizontal="center" vertical="center"/>
    </xf>
    <xf numFmtId="0" fontId="21" fillId="0" borderId="8" xfId="0" applyFont="1" applyBorder="1" applyAlignment="1">
      <alignment horizontal="center" vertical="center" wrapText="1"/>
    </xf>
    <xf numFmtId="0" fontId="21" fillId="0" borderId="34" xfId="0" applyFont="1" applyBorder="1" applyAlignment="1">
      <alignment horizontal="center" vertical="center" wrapText="1"/>
    </xf>
    <xf numFmtId="0" fontId="21" fillId="0" borderId="1" xfId="0" applyFont="1" applyBorder="1">
      <alignment vertical="center"/>
    </xf>
    <xf numFmtId="0" fontId="12" fillId="10" borderId="13" xfId="0" applyFont="1" applyFill="1" applyBorder="1" applyAlignment="1">
      <alignment horizontal="center" vertical="center"/>
    </xf>
    <xf numFmtId="0" fontId="12" fillId="10" borderId="13" xfId="0" applyFont="1" applyFill="1" applyBorder="1" applyAlignment="1">
      <alignment horizontal="center" vertical="center" wrapText="1"/>
    </xf>
    <xf numFmtId="0" fontId="12" fillId="9" borderId="13" xfId="0" applyFont="1" applyFill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/>
    </xf>
    <xf numFmtId="0" fontId="14" fillId="0" borderId="14" xfId="0" applyFont="1" applyBorder="1" applyAlignment="1">
      <alignment horizontal="center" vertical="center"/>
    </xf>
    <xf numFmtId="0" fontId="38" fillId="4" borderId="1" xfId="0" applyFont="1" applyFill="1" applyBorder="1" applyAlignment="1">
      <alignment horizontal="center" vertical="center"/>
    </xf>
    <xf numFmtId="0" fontId="21" fillId="4" borderId="1" xfId="0" applyFont="1" applyFill="1" applyBorder="1" applyAlignment="1">
      <alignment horizontal="center" vertical="center" wrapText="1"/>
    </xf>
    <xf numFmtId="0" fontId="39" fillId="11" borderId="1" xfId="0" applyFont="1" applyFill="1" applyBorder="1" applyAlignment="1">
      <alignment horizontal="center" vertical="center"/>
    </xf>
    <xf numFmtId="0" fontId="39" fillId="11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/>
    </xf>
    <xf numFmtId="0" fontId="29" fillId="6" borderId="1" xfId="0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vertical="center" wrapText="1"/>
    </xf>
    <xf numFmtId="0" fontId="8" fillId="0" borderId="1" xfId="0" applyFont="1" applyBorder="1" applyAlignment="1">
      <alignment vertical="center" wrapText="1"/>
    </xf>
    <xf numFmtId="0" fontId="8" fillId="0" borderId="35" xfId="0" applyFont="1" applyBorder="1" applyAlignment="1">
      <alignment vertical="center" wrapText="1"/>
    </xf>
    <xf numFmtId="0" fontId="8" fillId="7" borderId="1" xfId="0" applyFont="1" applyFill="1" applyBorder="1">
      <alignment vertical="center"/>
    </xf>
    <xf numFmtId="0" fontId="21" fillId="0" borderId="13" xfId="0" applyFont="1" applyBorder="1" applyAlignment="1">
      <alignment horizontal="center" vertical="center" wrapText="1"/>
    </xf>
    <xf numFmtId="0" fontId="21" fillId="0" borderId="4" xfId="0" applyFont="1" applyBorder="1" applyAlignment="1">
      <alignment horizontal="center" vertical="center" wrapText="1"/>
    </xf>
    <xf numFmtId="0" fontId="21" fillId="0" borderId="13" xfId="0" applyFont="1" applyBorder="1" applyAlignment="1">
      <alignment horizontal="center" vertical="center"/>
    </xf>
    <xf numFmtId="0" fontId="21" fillId="0" borderId="4" xfId="0" applyFont="1" applyBorder="1" applyAlignment="1">
      <alignment horizontal="center" vertical="center"/>
    </xf>
    <xf numFmtId="0" fontId="21" fillId="0" borderId="31" xfId="0" applyFont="1" applyBorder="1" applyAlignment="1">
      <alignment horizontal="center" vertical="center"/>
    </xf>
    <xf numFmtId="0" fontId="21" fillId="0" borderId="3" xfId="0" applyFont="1" applyBorder="1" applyAlignment="1">
      <alignment horizontal="center" vertical="center"/>
    </xf>
    <xf numFmtId="0" fontId="14" fillId="0" borderId="13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21" fillId="0" borderId="11" xfId="0" applyFont="1" applyBorder="1" applyAlignment="1">
      <alignment horizontal="center" vertical="center" wrapText="1"/>
    </xf>
    <xf numFmtId="0" fontId="21" fillId="0" borderId="7" xfId="0" applyFont="1" applyBorder="1" applyAlignment="1">
      <alignment horizontal="center" vertical="center" wrapText="1"/>
    </xf>
    <xf numFmtId="0" fontId="21" fillId="0" borderId="1" xfId="0" applyFont="1" applyBorder="1" applyAlignment="1">
      <alignment horizontal="center" vertical="center"/>
    </xf>
    <xf numFmtId="0" fontId="30" fillId="7" borderId="1" xfId="0" applyFont="1" applyFill="1" applyBorder="1" applyAlignment="1">
      <alignment horizontal="left" vertical="center"/>
    </xf>
    <xf numFmtId="0" fontId="8" fillId="7" borderId="1" xfId="0" applyFont="1" applyFill="1" applyBorder="1" applyAlignment="1">
      <alignment horizontal="left" vertical="center"/>
    </xf>
    <xf numFmtId="0" fontId="30" fillId="7" borderId="1" xfId="0" applyFont="1" applyFill="1" applyBorder="1" applyAlignment="1">
      <alignment horizontal="left" vertical="center" wrapText="1"/>
    </xf>
    <xf numFmtId="0" fontId="31" fillId="7" borderId="1" xfId="0" applyFont="1" applyFill="1" applyBorder="1" applyAlignment="1">
      <alignment horizontal="left" vertical="center"/>
    </xf>
    <xf numFmtId="0" fontId="30" fillId="7" borderId="26" xfId="0" applyFont="1" applyFill="1" applyBorder="1" applyAlignment="1">
      <alignment horizontal="left" vertical="center"/>
    </xf>
    <xf numFmtId="0" fontId="32" fillId="7" borderId="26" xfId="0" applyFont="1" applyFill="1" applyBorder="1" applyAlignment="1">
      <alignment horizontal="left" vertical="center"/>
    </xf>
    <xf numFmtId="0" fontId="0" fillId="0" borderId="1" xfId="0" applyFont="1" applyBorder="1">
      <alignment vertical="center"/>
    </xf>
  </cellXfs>
  <cellStyles count="43">
    <cellStyle name="쉼표 [0] 10 10 10" xfId="1" xr:uid="{2C1F00CB-8A4D-46FE-90F0-DE3BBD90B240}"/>
    <cellStyle name="쉼표 [0] 10 10 10 2 2" xfId="39" xr:uid="{F3F9DEC7-9C96-41C7-BD78-881E30C5A815}"/>
    <cellStyle name="쉼표 [0] 10 10 10 3" xfId="19" xr:uid="{E5530DFD-09E5-409D-BBA8-183B9356F4A5}"/>
    <cellStyle name="쉼표 [0] 10 10 2 2" xfId="12" xr:uid="{57C579F2-8CD7-4B4F-BF95-341DEAEFBE5E}"/>
    <cellStyle name="쉼표 [0] 10 14" xfId="36" xr:uid="{9866BCF5-0E02-4DF0-8BB4-49F438600001}"/>
    <cellStyle name="쉼표 [0] 10 2" xfId="37" xr:uid="{4A9A8483-796C-4CDF-A0BC-A18D5B9FE821}"/>
    <cellStyle name="쉼표 [0] 10 2 4 2 3" xfId="33" xr:uid="{EA146393-F970-43AE-BFFD-1A246BC63DA1}"/>
    <cellStyle name="쉼표 [0] 10 5" xfId="16" xr:uid="{9796B8CE-0C2D-49FF-988A-67D525E14A3E}"/>
    <cellStyle name="쉼표 [0] 10 50" xfId="35" xr:uid="{3A8E2466-661E-4D52-A08A-6A0F0A4513C6}"/>
    <cellStyle name="쉼표 [0] 10 54" xfId="4" xr:uid="{DB676995-2EB9-447E-A32B-4548453850AB}"/>
    <cellStyle name="쉼표 [0] 10 54 2" xfId="20" xr:uid="{FAC5E082-4CCD-4E49-9A59-ADF640D3671D}"/>
    <cellStyle name="쉼표 [0] 10 54 2 2 2" xfId="38" xr:uid="{098F9631-E1A7-4383-8624-37375A810757}"/>
    <cellStyle name="쉼표 [0] 10 8 3" xfId="18" xr:uid="{D38AA4CE-929D-4200-8170-59B4DF3A1481}"/>
    <cellStyle name="쉼표 [0] 10_한줄견적서 예시&amp;가이드 2" xfId="25" xr:uid="{389FF43C-65F4-4646-86EA-85391FBFF7B1}"/>
    <cellStyle name="쉼표 [0] 2" xfId="10" xr:uid="{5692E834-60CA-4B94-86F5-327A5531F2BD}"/>
    <cellStyle name="쉼표 [0] 3" xfId="42" xr:uid="{48CD38F2-6CB5-42F5-BF7E-93424F71AD5D}"/>
    <cellStyle name="표준" xfId="0" builtinId="0"/>
    <cellStyle name="표준 10" xfId="24" xr:uid="{0F64D5FD-6CAF-453B-95F4-9E545E74D674}"/>
    <cellStyle name="표준 11" xfId="11" xr:uid="{DC39FD37-E604-4225-9CD4-6B5FA3FFB0D3}"/>
    <cellStyle name="표준 13" xfId="26" xr:uid="{745F21CF-406C-48E5-9FE3-490562A35337}"/>
    <cellStyle name="표준 17" xfId="22" xr:uid="{52721F3C-8075-4B36-AF77-CE36C7EC5D34}"/>
    <cellStyle name="표준 2" xfId="13" xr:uid="{66B00A52-27BE-460A-829B-10A6A4AC0E85}"/>
    <cellStyle name="표준 2 2" xfId="3" xr:uid="{D677B31A-041B-4263-84B5-048151646AE9}"/>
    <cellStyle name="표준 2 2 2 2" xfId="6" xr:uid="{33DE61B5-C8CB-497C-9058-7213A6C14C12}"/>
    <cellStyle name="표준 2 2 2 3" xfId="21" xr:uid="{7DEA581C-0328-4BAA-8B01-6A0910CEA8C5}"/>
    <cellStyle name="표준 2 2 4" xfId="5" xr:uid="{7429C659-5FD5-4381-A9DB-AA05D758353C}"/>
    <cellStyle name="표준 2 2 5" xfId="29" xr:uid="{CBA6E0A2-14D3-4A00-B0F9-B19BD96C9A6F}"/>
    <cellStyle name="표준 2 3" xfId="34" xr:uid="{06E51063-9C07-4C58-894D-DB8AB5E5DF33}"/>
    <cellStyle name="표준 2 3 2" xfId="7" xr:uid="{AD1999CE-7A0B-406C-A68D-F03FED8822EC}"/>
    <cellStyle name="표준 2 4" xfId="27" xr:uid="{03D8A9C9-9467-42B9-BA34-319BC2E4B4F2}"/>
    <cellStyle name="표준 2 4 2" xfId="8" xr:uid="{873F0C11-37C5-466F-82BF-5F1341331E3E}"/>
    <cellStyle name="표준 27" xfId="15" xr:uid="{C128D553-F43A-4084-B01B-AD74ED082DC9}"/>
    <cellStyle name="표준 3" xfId="14" xr:uid="{A6913443-848F-41AA-91E5-412AE144E71B}"/>
    <cellStyle name="표준 3 2" xfId="23" xr:uid="{87504AE6-DD22-4B38-9213-96C607B7931D}"/>
    <cellStyle name="표준 3 3" xfId="28" xr:uid="{9EF937BF-BB85-4229-9E74-A9890A91532E}"/>
    <cellStyle name="표준 3 3 4" xfId="40" xr:uid="{E00EBA74-E280-455A-A776-4AFD98DCC308}"/>
    <cellStyle name="표준 4 2" xfId="2" xr:uid="{BC0D93CB-3C2F-4F8F-AE50-450D6F81A85B}"/>
    <cellStyle name="표준 5" xfId="17" xr:uid="{5DF3081F-DBA7-4C8B-93DC-37372A3CA6A2}"/>
    <cellStyle name="표준 6 2" xfId="9" xr:uid="{50DF30D5-AF7A-4784-981A-DB9958AF3809}"/>
    <cellStyle name="표준 6 2 3" xfId="32" xr:uid="{733EC776-89E1-4952-BE5E-8B07B3D8EDBE}"/>
    <cellStyle name="표준 7" xfId="41" xr:uid="{9DF40EC1-3ACE-4CAA-A5EF-0B3403ED35ED}"/>
    <cellStyle name="표준 8" xfId="31" xr:uid="{433705FF-768C-4F5F-BB3A-703E1797B720}"/>
    <cellStyle name="표준 9" xfId="30" xr:uid="{4FFD98BE-FD1E-48CC-A44C-A492D51A8EDB}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E285BA-AA72-4B1F-8B6F-AE7B244EF8AF}">
  <dimension ref="A1:V77"/>
  <sheetViews>
    <sheetView zoomScale="40" zoomScaleNormal="40" workbookViewId="0">
      <pane ySplit="1" topLeftCell="A2" activePane="bottomLeft" state="frozen"/>
      <selection pane="bottomLeft" activeCell="J4" sqref="J4"/>
    </sheetView>
  </sheetViews>
  <sheetFormatPr defaultColWidth="9" defaultRowHeight="25.2"/>
  <cols>
    <col min="1" max="2" width="16.09765625" style="34" customWidth="1"/>
    <col min="3" max="3" width="11.8984375" style="34" customWidth="1"/>
    <col min="4" max="4" width="29.5" style="34" customWidth="1"/>
    <col min="5" max="5" width="23" style="34" customWidth="1"/>
    <col min="6" max="6" width="68.8984375" style="23" bestFit="1" customWidth="1"/>
    <col min="7" max="7" width="38.69921875" style="23" customWidth="1"/>
    <col min="8" max="8" width="61.09765625" style="23" customWidth="1"/>
    <col min="9" max="9" width="47.59765625" style="23" bestFit="1" customWidth="1"/>
    <col min="10" max="10" width="27.8984375" style="23" customWidth="1"/>
    <col min="11" max="11" width="115.3984375" style="34" bestFit="1" customWidth="1"/>
    <col min="12" max="14" width="37.8984375" style="34" customWidth="1"/>
    <col min="15" max="15" width="13.59765625" style="34" customWidth="1"/>
    <col min="16" max="16" width="13.09765625" style="34" customWidth="1"/>
    <col min="17" max="17" width="13.09765625" style="73" customWidth="1"/>
    <col min="18" max="19" width="13.09765625" style="34" customWidth="1"/>
    <col min="20" max="20" width="33.09765625" style="34" bestFit="1" customWidth="1"/>
    <col min="21" max="21" width="27" style="34" bestFit="1" customWidth="1"/>
    <col min="22" max="22" width="106.3984375" style="73" customWidth="1"/>
    <col min="23" max="16384" width="9" style="34"/>
  </cols>
  <sheetData>
    <row r="1" spans="1:22" s="23" customFormat="1" ht="47.25" customHeight="1" thickBot="1">
      <c r="A1" s="55" t="s">
        <v>0</v>
      </c>
      <c r="B1" s="90" t="s">
        <v>842</v>
      </c>
      <c r="C1" s="56" t="s">
        <v>1</v>
      </c>
      <c r="D1" s="56" t="s">
        <v>2</v>
      </c>
      <c r="E1" s="56" t="s">
        <v>3</v>
      </c>
      <c r="F1" s="56" t="s">
        <v>4</v>
      </c>
      <c r="G1" s="56" t="s">
        <v>5</v>
      </c>
      <c r="H1" s="56" t="s">
        <v>6</v>
      </c>
      <c r="I1" s="56" t="s">
        <v>7</v>
      </c>
      <c r="J1" s="57" t="s">
        <v>9</v>
      </c>
      <c r="K1" s="56" t="s">
        <v>10</v>
      </c>
      <c r="L1" s="80" t="s">
        <v>11</v>
      </c>
      <c r="M1" s="90" t="s">
        <v>840</v>
      </c>
      <c r="N1" s="90" t="s">
        <v>849</v>
      </c>
      <c r="O1" s="86" t="s">
        <v>1391</v>
      </c>
      <c r="P1" s="86" t="s">
        <v>6</v>
      </c>
      <c r="Q1" s="86" t="s">
        <v>7</v>
      </c>
      <c r="R1" s="86" t="s">
        <v>8</v>
      </c>
      <c r="S1" s="87" t="s">
        <v>9</v>
      </c>
      <c r="T1" s="83" t="s">
        <v>12</v>
      </c>
      <c r="U1" s="83" t="s">
        <v>13</v>
      </c>
      <c r="V1" s="83" t="s">
        <v>14</v>
      </c>
    </row>
    <row r="2" spans="1:22" s="23" customFormat="1" ht="72.75" customHeight="1">
      <c r="A2" s="58" t="s">
        <v>15</v>
      </c>
      <c r="B2" s="128" t="s">
        <v>1384</v>
      </c>
      <c r="C2" s="24" t="s">
        <v>16</v>
      </c>
      <c r="D2" s="24" t="s">
        <v>17</v>
      </c>
      <c r="E2" s="24" t="s">
        <v>18</v>
      </c>
      <c r="F2" s="24" t="s">
        <v>19</v>
      </c>
      <c r="G2" s="24" t="s">
        <v>20</v>
      </c>
      <c r="H2" s="25" t="s">
        <v>21</v>
      </c>
      <c r="I2" s="25" t="s">
        <v>22</v>
      </c>
      <c r="J2" s="25">
        <v>325</v>
      </c>
      <c r="K2" s="24" t="s">
        <v>25</v>
      </c>
      <c r="L2" s="81" t="s">
        <v>26</v>
      </c>
      <c r="M2" s="91" t="s">
        <v>23</v>
      </c>
      <c r="N2" s="91"/>
      <c r="O2" s="91" t="str">
        <f>_xlfn.IFS(B2="다이마루","K",B2="우븐","W",B2="스웨터","S",B2="데님","D")</f>
        <v>K</v>
      </c>
      <c r="P2" s="26" t="str">
        <f t="shared" ref="P2:P33" si="0">IF(H2="", "",
 IF(AND(ISNUMBER(SEARCH("Cotton", H2)), OR(ISNUMBER(SEARCH("Sorona", H2)), ISNUMBER(SEARCH("Polyester(Sorona)", H2)))), "CS",
  IF(AND(ISNUMBER(SEARCH("Nylon", H2)), OR(ISNUMBER(SEARCH("Span", H2)), ISNUMBER(SEARCH("Polyurethane", H2)), ISNUMBER(SEARCH("Elastane", H2)))), "NX",
   IF(AND(ISNUMBER(SEARCH("Nylon", H2)), NOT(OR(ISNUMBER(SEARCH("Cotton", H2)), ISNUMBER(SEARCH("Polyester", H2)), ISNUMBER(SEARCH("Rayon", H2)), ISNUMBER(SEARCH("Modal", H2)), ISNUMBER(SEARCH("Viscose", H2))))), "N",
    IF(AND(ISNUMBER(SEARCH("Cotton", H2)), NOT(OR(ISNUMBER(SEARCH("Polyester", H2)), ISNUMBER(SEARCH("Nylon", H2)), ISNUMBER(SEARCH("Rayon", H2)), ISNUMBER(SEARCH("Modal", H2)), ISNUMBER(SEARCH("Viscose", H2)), ISNUMBER(SEARCH("Polyurethane", H2)), ISNUMBER(SEARCH("Span", H2))))), "C",
     IF(ISNUMBER(SEARCH("Cotton", H2)), "CX",
      IF(AND(ISNUMBER(SEARCH("Polyester", H2)), NOT(OR(ISNUMBER(SEARCH("Cotton", H2)), ISNUMBER(SEARCH("Nylon", H2)), ISNUMBER(SEARCH("Wool", H2)), ISNUMBER(SEARCH("Rayon", H2))))), "P",
       "S")))))))</f>
        <v>CS</v>
      </c>
      <c r="Q2" s="26" t="str">
        <f t="shared" ref="Q2:Q33" si="1">IF(OR(I2="", I2="X", I2="None"), "ST",
 IF(OR(ISNUMBER(SEARCH("Layer", I2)), ISNUMBER(SEARCH("Lamination", I2)), ISNUMBER(SEARCH("TPU", I2)), ISNUMBER(SEARCH("PU", I2))), "WP",
  IF(OR(ISNUMBER(SEARCH("WR", I2)), ISNUMBER(SEARCH("DWR", I2)), ISNUMBER(SEARCH("Cire", I2)), ISNUMBER(SEARCH("Coating", I2)), ISNUMBER(SEARCH("Print", I2))), "WR",
   IF(OR(ISNUMBER(SEARCH("Bio", I2)), ISNUMBER(SEARCH("Enzyme", I2)), ISNUMBER(SEARCH("Peach", I2)), ISNUMBER(SEARCH("Brush", I2)), ISNUMBER(SEARCH("Tumble", I2)), ISNUMBER(SEARCH("Airo", I2))), "AF",
    IF(OR(ISNUMBER(SEARCH("UV", I2)), ISNUMBER(SEARCH("Dry", I2)), ISNUMBER(SEARCH("Wick", I2)), ISNUMBER(SEARCH("Hydrolysis", I2))), "FN",
     "ST")))))</f>
        <v>AF</v>
      </c>
      <c r="R2" s="26" t="str">
        <f t="shared" ref="R2:R33" si="2">IF(H2="", "",
 IF(OR(ISNUMBER(SEARCH("Span",H2)), ISNUMBER(SEARCH("Polyurethane",H2)), ISNUMBER(SEARCH("PU",H2))),
    IF(IFERROR(VALUE(LEFT(SUBSTITUTE(MID(H2,SEARCH("%",H2)-3,3),",",""),2)),0)&gt;=12, "Lv 5",
    IF(IFERROR(VALUE(LEFT(SUBSTITUTE(MID(H2,SEARCH("%",H2)-3,3),",",""),2)),0)&gt;=6, "Lv 4", "Lv 3")),
    IF(OR(ISNUMBER(SEARCH("Sorona",H2)), ISNUMBER(SEARCH("T400",H2)), ISNUMBER(SEARCH("Knit",H2))), "Lv 2", "Lv 1")
 ))</f>
        <v>Lv 2</v>
      </c>
      <c r="S2" s="26" t="str">
        <f>IF(OR(J2="", J2=0), "",
 IF(J2&lt;=80, "Lv 1",
  IF(J2&lt;=160, "Lv 2",
   IF(J2&lt;=260, "Lv 3",
    IF(J2&lt;=360, "Lv 4",
     "Lv 5")))))</f>
        <v>Lv 4</v>
      </c>
      <c r="T2" s="84" t="str">
        <f>IF(M2="O", _xlfn.TEXTJOIN("-", TRUE, O2:S2), "")</f>
        <v/>
      </c>
      <c r="U2" s="84" t="str">
        <f t="shared" ref="U2:U33" si="3">IF(M2&lt;&gt;"O", "",
  IF(ISNUMBER(SEARCH("METALUX", K2)), "METALUX",
  IF(ISNUMBER(SEARCH("METAL", K2)), "METAL",
  IF(AND(ISNUMBER(SEARCH("WR", K2)), ISNUMBER(SEARCH("NY", K2))), "NYWR",
  IF(AND(ISNUMBER(SEARCH("WR", K2)), OR(ISNUMBER(SEARCH("VS", K2)), ISNUMBER(SEARCH("VISLON", K2)))), "VSWR",
  IF(OR(ISNUMBER(SEARCH("VS", K2)), ISNUMBER(SEARCH("VISLON", K2))), "VS", "NY")))))
  &amp; "-" &amp; IF(ISNUMBER(SEARCH("#3", K2)), "#3", "#5")
  &amp; "-" &amp; IF(ISNUMBER(SEARCH("2-WAY", K2)), "2WAY", IF(ISNUMBER(SEARCH("C/E", K2)), "CE", "OE"))
)</f>
        <v/>
      </c>
      <c r="V2" s="85" t="str">
        <f>IF(OR(T2="", U2=""), "",
IF(AND(OR(ISNUMBER(SEARCH("NX", T2)), ISNUMBER(SEARCH("CX", T2)), ISNUMBER(SEARCH("ST", T2)), ISNUMBER(SEARCH("P", T2))), OR(ISNUMBER(SEARCH("METAL", U2)), ISNUMBER(SEARCH("VS", U2)), ISNUMBER(SEARCH("NY", U2)))), "⚠️ [파동 주의] 신축 원단+지퍼: 꿀렁임(웨이브) 및 이새 몰림 위험",
IF(AND(ISNUMBER(SEARCH("Lv 1", T2)), OR(ISNUMBER(SEARCH("METAL", U2)), ISNUMBER(SEARCH("VS", U2)), ISNUMBER(SEARCH("NY", U2)))), "⚠️ [박지 주의] 초경량 원단: 지퍼 무게에 의한 처짐 및 미어짐 주의",
IF(AND(OR(ISNUMBER(SEARCH("D-", T2)), ISNUMBER(SEARCH("Indigo", G2))), ISNUMBER(SEARCH("VS", U2))), "⚠️ [이염 주의] 인디고 워싱 시 지퍼 이빨 이염 확인",
IF(AND(ISNUMBER(SEARCH("WP", T2)), NOT(ISNUMBER(SEARCH("WR", U2)))), "⚠️ [기능성 매칭] 방수 원단+일반 지퍼: 지퍼 틈새 누수 및 발수 확인",
"✅ 정상")))))</f>
        <v/>
      </c>
    </row>
    <row r="3" spans="1:22" s="23" customFormat="1" ht="72.75" customHeight="1">
      <c r="A3" s="59" t="s">
        <v>15</v>
      </c>
      <c r="B3" s="128" t="s">
        <v>1384</v>
      </c>
      <c r="C3" s="26" t="s">
        <v>16</v>
      </c>
      <c r="D3" s="26" t="s">
        <v>30</v>
      </c>
      <c r="E3" s="26" t="s">
        <v>31</v>
      </c>
      <c r="F3" s="26" t="s">
        <v>32</v>
      </c>
      <c r="G3" s="26" t="s">
        <v>33</v>
      </c>
      <c r="H3" s="27" t="s">
        <v>34</v>
      </c>
      <c r="I3" s="27" t="s">
        <v>35</v>
      </c>
      <c r="J3" s="27">
        <v>96</v>
      </c>
      <c r="K3" s="26" t="s">
        <v>37</v>
      </c>
      <c r="L3" s="31" t="s">
        <v>38</v>
      </c>
      <c r="M3" s="91" t="s">
        <v>36</v>
      </c>
      <c r="N3" s="91"/>
      <c r="O3" s="91" t="str">
        <f t="shared" ref="O3:O66" si="4">_xlfn.IFS(B3="다이마루","K",B3="우븐","W",B3="스웨터","S",B3="데님","D")</f>
        <v>K</v>
      </c>
      <c r="P3" s="26" t="str">
        <f t="shared" si="0"/>
        <v>NX</v>
      </c>
      <c r="Q3" s="26" t="str">
        <f t="shared" si="1"/>
        <v>WR</v>
      </c>
      <c r="R3" s="26" t="str">
        <f t="shared" si="2"/>
        <v>Lv 3</v>
      </c>
      <c r="S3" s="26" t="str">
        <f t="shared" ref="S3:S66" si="5">IF(OR(J3="", J3=0), "",
 IF(J3&lt;=80, "Lv 1",
  IF(J3&lt;=160, "Lv 2",
   IF(J3&lt;=260, "Lv 3",
    IF(J3&lt;=360, "Lv 4",
     "Lv 5")))))</f>
        <v>Lv 2</v>
      </c>
      <c r="T3" s="84" t="str">
        <f t="shared" ref="T3:T66" si="6">IF(M3="O", _xlfn.TEXTJOIN("-", TRUE, O3:S3), "")</f>
        <v>K-NX-WR-Lv 3-Lv 2</v>
      </c>
      <c r="U3" s="84" t="str">
        <f t="shared" si="3"/>
        <v>VS-#3-CE</v>
      </c>
      <c r="V3" s="85" t="str">
        <f t="shared" ref="V3:V66" si="7">IF(OR(T3="", U3=""), "",
IF(AND(OR(ISNUMBER(SEARCH("NX", T3)), ISNUMBER(SEARCH("CX", T3)), ISNUMBER(SEARCH("ST", T3)), ISNUMBER(SEARCH("P", T3))), OR(ISNUMBER(SEARCH("METAL", U3)), ISNUMBER(SEARCH("VS", U3)), ISNUMBER(SEARCH("NY", U3)))), "⚠️ [파동 주의] 신축 원단+지퍼: 꿀렁임(웨이브) 및 이새 몰림 위험",
IF(AND(ISNUMBER(SEARCH("Lv 1", T3)), OR(ISNUMBER(SEARCH("METAL", U3)), ISNUMBER(SEARCH("VS", U3)), ISNUMBER(SEARCH("NY", U3)))), "⚠️ [박지 주의] 초경량 원단: 지퍼 무게에 의한 처짐 및 미어짐 주의",
IF(AND(OR(ISNUMBER(SEARCH("D-", T3)), ISNUMBER(SEARCH("Indigo", G3))), ISNUMBER(SEARCH("VS", U3))), "⚠️ [이염 주의] 인디고 워싱 시 지퍼 이빨 이염 확인",
IF(AND(ISNUMBER(SEARCH("WP", T3)), NOT(ISNUMBER(SEARCH("WR", U3)))), "⚠️ [기능성 매칭] 방수 원단+일반 지퍼: 지퍼 틈새 누수 및 발수 확인",
"✅ 정상")))))</f>
        <v>⚠️ [파동 주의] 신축 원단+지퍼: 꿀렁임(웨이브) 및 이새 몰림 위험</v>
      </c>
    </row>
    <row r="4" spans="1:22" s="23" customFormat="1" ht="72.75" customHeight="1">
      <c r="A4" s="59" t="s">
        <v>15</v>
      </c>
      <c r="B4" s="128" t="s">
        <v>1384</v>
      </c>
      <c r="C4" s="26" t="s">
        <v>40</v>
      </c>
      <c r="D4" s="26" t="s">
        <v>41</v>
      </c>
      <c r="E4" s="26" t="s">
        <v>42</v>
      </c>
      <c r="F4" s="26" t="s">
        <v>43</v>
      </c>
      <c r="G4" s="26" t="s">
        <v>44</v>
      </c>
      <c r="H4" s="26" t="s">
        <v>45</v>
      </c>
      <c r="I4" s="26" t="s">
        <v>46</v>
      </c>
      <c r="J4" s="68">
        <v>310</v>
      </c>
      <c r="K4" s="26" t="s">
        <v>25</v>
      </c>
      <c r="L4" s="28" t="s">
        <v>47</v>
      </c>
      <c r="M4" s="91" t="s">
        <v>36</v>
      </c>
      <c r="N4" s="91"/>
      <c r="O4" s="91" t="str">
        <f t="shared" si="4"/>
        <v>K</v>
      </c>
      <c r="P4" s="26" t="str">
        <f t="shared" si="0"/>
        <v>NX</v>
      </c>
      <c r="Q4" s="26" t="str">
        <f t="shared" si="1"/>
        <v>ST</v>
      </c>
      <c r="R4" s="26" t="str">
        <f t="shared" si="2"/>
        <v>Lv 3</v>
      </c>
      <c r="S4" s="26" t="str">
        <f t="shared" si="5"/>
        <v>Lv 4</v>
      </c>
      <c r="T4" s="84" t="str">
        <f t="shared" si="6"/>
        <v>K-NX-ST-Lv 3-Lv 4</v>
      </c>
      <c r="U4" s="84" t="str">
        <f t="shared" si="3"/>
        <v>VS-#3-2WAY</v>
      </c>
      <c r="V4" s="85" t="str">
        <f t="shared" si="7"/>
        <v>⚠️ [파동 주의] 신축 원단+지퍼: 꿀렁임(웨이브) 및 이새 몰림 위험</v>
      </c>
    </row>
    <row r="5" spans="1:22" s="23" customFormat="1" ht="72.75" customHeight="1">
      <c r="A5" s="59" t="s">
        <v>15</v>
      </c>
      <c r="B5" s="38" t="s">
        <v>421</v>
      </c>
      <c r="C5" s="26" t="s">
        <v>49</v>
      </c>
      <c r="D5" s="26" t="s">
        <v>50</v>
      </c>
      <c r="E5" s="26" t="s">
        <v>51</v>
      </c>
      <c r="F5" s="26" t="s">
        <v>52</v>
      </c>
      <c r="G5" s="26" t="s">
        <v>53</v>
      </c>
      <c r="H5" s="26" t="s">
        <v>54</v>
      </c>
      <c r="I5" s="28" t="s">
        <v>55</v>
      </c>
      <c r="J5" s="69">
        <v>120</v>
      </c>
      <c r="K5" s="38" t="s">
        <v>56</v>
      </c>
      <c r="L5" s="28" t="s">
        <v>57</v>
      </c>
      <c r="M5" s="91" t="s">
        <v>36</v>
      </c>
      <c r="N5" s="91"/>
      <c r="O5" s="91" t="str">
        <f t="shared" si="4"/>
        <v>W</v>
      </c>
      <c r="P5" s="26" t="str">
        <f t="shared" si="0"/>
        <v>NX</v>
      </c>
      <c r="Q5" s="26" t="str">
        <f t="shared" si="1"/>
        <v>FN</v>
      </c>
      <c r="R5" s="26" t="str">
        <f t="shared" si="2"/>
        <v>Lv 3</v>
      </c>
      <c r="S5" s="26" t="str">
        <f t="shared" si="5"/>
        <v>Lv 2</v>
      </c>
      <c r="T5" s="84" t="str">
        <f t="shared" si="6"/>
        <v>W-NX-FN-Lv 3-Lv 2</v>
      </c>
      <c r="U5" s="84" t="str">
        <f t="shared" si="3"/>
        <v>NY-#3-OE</v>
      </c>
      <c r="V5" s="85" t="str">
        <f t="shared" si="7"/>
        <v>⚠️ [파동 주의] 신축 원단+지퍼: 꿀렁임(웨이브) 및 이새 몰림 위험</v>
      </c>
    </row>
    <row r="6" spans="1:22" s="23" customFormat="1" ht="72.75" customHeight="1">
      <c r="A6" s="59" t="s">
        <v>15</v>
      </c>
      <c r="B6" s="38" t="s">
        <v>421</v>
      </c>
      <c r="C6" s="26" t="s">
        <v>49</v>
      </c>
      <c r="D6" s="26" t="s">
        <v>50</v>
      </c>
      <c r="E6" s="26" t="s">
        <v>59</v>
      </c>
      <c r="F6" s="26" t="s">
        <v>60</v>
      </c>
      <c r="G6" s="26" t="s">
        <v>61</v>
      </c>
      <c r="H6" s="27" t="s">
        <v>62</v>
      </c>
      <c r="I6" s="26" t="s">
        <v>35</v>
      </c>
      <c r="J6" s="24">
        <v>150</v>
      </c>
      <c r="K6" s="26" t="s">
        <v>63</v>
      </c>
      <c r="L6" s="28" t="s">
        <v>64</v>
      </c>
      <c r="M6" s="91" t="s">
        <v>23</v>
      </c>
      <c r="N6" s="91"/>
      <c r="O6" s="91" t="str">
        <f t="shared" si="4"/>
        <v>W</v>
      </c>
      <c r="P6" s="26" t="str">
        <f t="shared" si="0"/>
        <v>NX</v>
      </c>
      <c r="Q6" s="26" t="str">
        <f t="shared" si="1"/>
        <v>WR</v>
      </c>
      <c r="R6" s="26" t="str">
        <f t="shared" si="2"/>
        <v>Lv 3</v>
      </c>
      <c r="S6" s="26" t="str">
        <f t="shared" si="5"/>
        <v>Lv 2</v>
      </c>
      <c r="T6" s="84" t="str">
        <f t="shared" si="6"/>
        <v/>
      </c>
      <c r="U6" s="84" t="str">
        <f t="shared" si="3"/>
        <v/>
      </c>
      <c r="V6" s="85" t="str">
        <f t="shared" si="7"/>
        <v/>
      </c>
    </row>
    <row r="7" spans="1:22" s="23" customFormat="1" ht="72.75" customHeight="1">
      <c r="A7" s="59" t="s">
        <v>15</v>
      </c>
      <c r="B7" s="38" t="s">
        <v>421</v>
      </c>
      <c r="C7" s="26" t="s">
        <v>65</v>
      </c>
      <c r="D7" s="26" t="s">
        <v>66</v>
      </c>
      <c r="E7" s="26" t="s">
        <v>67</v>
      </c>
      <c r="F7" s="26" t="s">
        <v>68</v>
      </c>
      <c r="G7" s="26" t="s">
        <v>69</v>
      </c>
      <c r="H7" s="26" t="s">
        <v>70</v>
      </c>
      <c r="I7" s="26" t="s">
        <v>71</v>
      </c>
      <c r="J7" s="26">
        <v>142</v>
      </c>
      <c r="K7" s="26" t="s">
        <v>72</v>
      </c>
      <c r="L7" s="28" t="s">
        <v>57</v>
      </c>
      <c r="M7" s="91" t="s">
        <v>36</v>
      </c>
      <c r="N7" s="91"/>
      <c r="O7" s="91" t="str">
        <f t="shared" si="4"/>
        <v>W</v>
      </c>
      <c r="P7" s="26" t="str">
        <f t="shared" si="0"/>
        <v>N</v>
      </c>
      <c r="Q7" s="26" t="str">
        <f t="shared" si="1"/>
        <v>AF</v>
      </c>
      <c r="R7" s="26" t="str">
        <f t="shared" si="2"/>
        <v>Lv 1</v>
      </c>
      <c r="S7" s="26" t="str">
        <f t="shared" si="5"/>
        <v>Lv 2</v>
      </c>
      <c r="T7" s="84" t="str">
        <f t="shared" si="6"/>
        <v>W-N-AF-Lv 1-Lv 2</v>
      </c>
      <c r="U7" s="84" t="str">
        <f t="shared" si="3"/>
        <v>VS-#5-OE</v>
      </c>
      <c r="V7" s="85" t="str">
        <f t="shared" si="7"/>
        <v>⚠️ [박지 주의] 초경량 원단: 지퍼 무게에 의한 처짐 및 미어짐 주의</v>
      </c>
    </row>
    <row r="8" spans="1:22" s="23" customFormat="1" ht="72.599999999999994" customHeight="1">
      <c r="A8" s="59" t="s">
        <v>15</v>
      </c>
      <c r="B8" s="38" t="s">
        <v>421</v>
      </c>
      <c r="C8" s="26" t="s">
        <v>65</v>
      </c>
      <c r="D8" s="26" t="s">
        <v>73</v>
      </c>
      <c r="E8" s="26" t="s">
        <v>74</v>
      </c>
      <c r="F8" s="26" t="s">
        <v>68</v>
      </c>
      <c r="G8" s="26" t="s">
        <v>75</v>
      </c>
      <c r="H8" s="26" t="s">
        <v>70</v>
      </c>
      <c r="I8" s="26" t="s">
        <v>76</v>
      </c>
      <c r="J8" s="26">
        <v>79</v>
      </c>
      <c r="K8" s="26" t="s">
        <v>77</v>
      </c>
      <c r="L8" s="28" t="s">
        <v>57</v>
      </c>
      <c r="M8" s="91" t="s">
        <v>36</v>
      </c>
      <c r="N8" s="91"/>
      <c r="O8" s="91" t="str">
        <f t="shared" si="4"/>
        <v>W</v>
      </c>
      <c r="P8" s="26" t="str">
        <f t="shared" si="0"/>
        <v>N</v>
      </c>
      <c r="Q8" s="26" t="str">
        <f t="shared" si="1"/>
        <v>WR</v>
      </c>
      <c r="R8" s="26" t="str">
        <f t="shared" si="2"/>
        <v>Lv 1</v>
      </c>
      <c r="S8" s="26" t="str">
        <f t="shared" si="5"/>
        <v>Lv 1</v>
      </c>
      <c r="T8" s="84" t="str">
        <f t="shared" si="6"/>
        <v>W-N-WR-Lv 1-Lv 1</v>
      </c>
      <c r="U8" s="84" t="str">
        <f t="shared" si="3"/>
        <v>VS-#3-CE</v>
      </c>
      <c r="V8" s="85" t="str">
        <f t="shared" si="7"/>
        <v>⚠️ [박지 주의] 초경량 원단: 지퍼 무게에 의한 처짐 및 미어짐 주의</v>
      </c>
    </row>
    <row r="9" spans="1:22" s="23" customFormat="1" ht="72.75" customHeight="1">
      <c r="A9" s="59" t="s">
        <v>15</v>
      </c>
      <c r="B9" s="38" t="s">
        <v>421</v>
      </c>
      <c r="C9" s="26" t="s">
        <v>79</v>
      </c>
      <c r="D9" s="26" t="s">
        <v>80</v>
      </c>
      <c r="E9" s="26" t="s">
        <v>81</v>
      </c>
      <c r="F9" s="26" t="s">
        <v>82</v>
      </c>
      <c r="G9" s="26" t="s">
        <v>83</v>
      </c>
      <c r="H9" s="26" t="s">
        <v>70</v>
      </c>
      <c r="I9" s="26" t="s">
        <v>84</v>
      </c>
      <c r="J9" s="26">
        <v>81</v>
      </c>
      <c r="K9" s="26" t="s">
        <v>85</v>
      </c>
      <c r="L9" s="28" t="s">
        <v>57</v>
      </c>
      <c r="M9" s="91" t="s">
        <v>36</v>
      </c>
      <c r="N9" s="91"/>
      <c r="O9" s="91" t="str">
        <f t="shared" si="4"/>
        <v>W</v>
      </c>
      <c r="P9" s="26" t="str">
        <f t="shared" si="0"/>
        <v>N</v>
      </c>
      <c r="Q9" s="26" t="str">
        <f t="shared" si="1"/>
        <v>WR</v>
      </c>
      <c r="R9" s="26" t="str">
        <f t="shared" si="2"/>
        <v>Lv 1</v>
      </c>
      <c r="S9" s="26" t="str">
        <f t="shared" si="5"/>
        <v>Lv 2</v>
      </c>
      <c r="T9" s="84" t="str">
        <f t="shared" si="6"/>
        <v>W-N-WR-Lv 1-Lv 2</v>
      </c>
      <c r="U9" s="84" t="str">
        <f t="shared" si="3"/>
        <v>METAL-#3-OE</v>
      </c>
      <c r="V9" s="85" t="str">
        <f t="shared" si="7"/>
        <v>⚠️ [박지 주의] 초경량 원단: 지퍼 무게에 의한 처짐 및 미어짐 주의</v>
      </c>
    </row>
    <row r="10" spans="1:22" s="23" customFormat="1" ht="72.75" customHeight="1">
      <c r="A10" s="59" t="s">
        <v>15</v>
      </c>
      <c r="B10" s="38" t="s">
        <v>421</v>
      </c>
      <c r="C10" s="26" t="s">
        <v>86</v>
      </c>
      <c r="D10" s="26" t="s">
        <v>87</v>
      </c>
      <c r="E10" s="26" t="s">
        <v>88</v>
      </c>
      <c r="F10" s="26" t="s">
        <v>89</v>
      </c>
      <c r="G10" s="26" t="s">
        <v>90</v>
      </c>
      <c r="H10" s="26" t="s">
        <v>54</v>
      </c>
      <c r="I10" s="26" t="s">
        <v>91</v>
      </c>
      <c r="J10" s="26">
        <v>120</v>
      </c>
      <c r="K10" s="26" t="s">
        <v>92</v>
      </c>
      <c r="L10" s="28" t="s">
        <v>57</v>
      </c>
      <c r="M10" s="91" t="s">
        <v>36</v>
      </c>
      <c r="N10" s="91"/>
      <c r="O10" s="91" t="str">
        <f t="shared" si="4"/>
        <v>W</v>
      </c>
      <c r="P10" s="26" t="str">
        <f t="shared" si="0"/>
        <v>NX</v>
      </c>
      <c r="Q10" s="26" t="str">
        <f t="shared" si="1"/>
        <v>WP</v>
      </c>
      <c r="R10" s="26" t="str">
        <f t="shared" si="2"/>
        <v>Lv 3</v>
      </c>
      <c r="S10" s="26" t="str">
        <f t="shared" si="5"/>
        <v>Lv 2</v>
      </c>
      <c r="T10" s="84" t="str">
        <f t="shared" si="6"/>
        <v>W-NX-WP-Lv 3-Lv 2</v>
      </c>
      <c r="U10" s="84" t="str">
        <f t="shared" si="3"/>
        <v>VSWR-#3-OE</v>
      </c>
      <c r="V10" s="85" t="str">
        <f t="shared" si="7"/>
        <v>⚠️ [파동 주의] 신축 원단+지퍼: 꿀렁임(웨이브) 및 이새 몰림 위험</v>
      </c>
    </row>
    <row r="11" spans="1:22" s="23" customFormat="1" ht="72.75" customHeight="1">
      <c r="A11" s="59" t="s">
        <v>15</v>
      </c>
      <c r="B11" s="38" t="s">
        <v>1385</v>
      </c>
      <c r="C11" s="26" t="s">
        <v>94</v>
      </c>
      <c r="D11" s="26" t="s">
        <v>94</v>
      </c>
      <c r="E11" s="26" t="s">
        <v>95</v>
      </c>
      <c r="F11" s="26" t="s">
        <v>96</v>
      </c>
      <c r="G11" s="26" t="s">
        <v>97</v>
      </c>
      <c r="H11" s="26" t="s">
        <v>98</v>
      </c>
      <c r="I11" s="26" t="s">
        <v>99</v>
      </c>
      <c r="J11" s="26">
        <v>220</v>
      </c>
      <c r="K11" s="26" t="s">
        <v>100</v>
      </c>
      <c r="L11" s="28" t="s">
        <v>57</v>
      </c>
      <c r="M11" s="91" t="s">
        <v>36</v>
      </c>
      <c r="N11" s="91"/>
      <c r="O11" s="91" t="str">
        <f t="shared" si="4"/>
        <v>S</v>
      </c>
      <c r="P11" s="26" t="str">
        <f t="shared" si="0"/>
        <v>C</v>
      </c>
      <c r="Q11" s="26" t="str">
        <f t="shared" si="1"/>
        <v>ST</v>
      </c>
      <c r="R11" s="26" t="str">
        <f t="shared" si="2"/>
        <v>Lv 1</v>
      </c>
      <c r="S11" s="26" t="str">
        <f t="shared" si="5"/>
        <v>Lv 3</v>
      </c>
      <c r="T11" s="84" t="str">
        <f t="shared" si="6"/>
        <v>S-C-ST-Lv 1-Lv 3</v>
      </c>
      <c r="U11" s="84" t="str">
        <f t="shared" si="3"/>
        <v>VS-#3-2WAY</v>
      </c>
      <c r="V11" s="85" t="str">
        <f t="shared" si="7"/>
        <v>⚠️ [파동 주의] 신축 원단+지퍼: 꿀렁임(웨이브) 및 이새 몰림 위험</v>
      </c>
    </row>
    <row r="12" spans="1:22" s="23" customFormat="1" ht="72.75" customHeight="1">
      <c r="A12" s="59" t="s">
        <v>15</v>
      </c>
      <c r="B12" s="38" t="s">
        <v>1385</v>
      </c>
      <c r="C12" s="26" t="s">
        <v>94</v>
      </c>
      <c r="D12" s="26" t="s">
        <v>102</v>
      </c>
      <c r="E12" s="26" t="s">
        <v>103</v>
      </c>
      <c r="F12" s="26" t="s">
        <v>96</v>
      </c>
      <c r="G12" s="26" t="s">
        <v>104</v>
      </c>
      <c r="H12" s="26" t="s">
        <v>105</v>
      </c>
      <c r="I12" s="26" t="s">
        <v>99</v>
      </c>
      <c r="J12" s="26">
        <v>452</v>
      </c>
      <c r="K12" s="26" t="s">
        <v>106</v>
      </c>
      <c r="L12" s="28" t="s">
        <v>57</v>
      </c>
      <c r="M12" s="91" t="s">
        <v>23</v>
      </c>
      <c r="N12" s="91"/>
      <c r="O12" s="91" t="str">
        <f t="shared" si="4"/>
        <v>S</v>
      </c>
      <c r="P12" s="26" t="str">
        <f t="shared" si="0"/>
        <v>CX</v>
      </c>
      <c r="Q12" s="26" t="str">
        <f t="shared" si="1"/>
        <v>ST</v>
      </c>
      <c r="R12" s="26" t="str">
        <f t="shared" si="2"/>
        <v>Lv 1</v>
      </c>
      <c r="S12" s="26" t="str">
        <f t="shared" si="5"/>
        <v>Lv 5</v>
      </c>
      <c r="T12" s="84" t="str">
        <f t="shared" si="6"/>
        <v/>
      </c>
      <c r="U12" s="84" t="str">
        <f t="shared" si="3"/>
        <v/>
      </c>
      <c r="V12" s="85" t="str">
        <f t="shared" si="7"/>
        <v/>
      </c>
    </row>
    <row r="13" spans="1:22" s="23" customFormat="1" ht="72.75" customHeight="1">
      <c r="A13" s="59" t="s">
        <v>108</v>
      </c>
      <c r="B13" s="128" t="s">
        <v>1384</v>
      </c>
      <c r="C13" s="26" t="s">
        <v>109</v>
      </c>
      <c r="D13" s="26" t="s">
        <v>109</v>
      </c>
      <c r="E13" s="26" t="s">
        <v>110</v>
      </c>
      <c r="F13" s="27" t="s">
        <v>111</v>
      </c>
      <c r="G13" s="26" t="s">
        <v>112</v>
      </c>
      <c r="H13" s="27" t="s">
        <v>113</v>
      </c>
      <c r="I13" s="26" t="s">
        <v>114</v>
      </c>
      <c r="J13" s="26">
        <v>340</v>
      </c>
      <c r="K13" s="26" t="s">
        <v>115</v>
      </c>
      <c r="L13" s="28" t="s">
        <v>57</v>
      </c>
      <c r="M13" s="91" t="s">
        <v>23</v>
      </c>
      <c r="N13" s="91"/>
      <c r="O13" s="91" t="str">
        <f t="shared" si="4"/>
        <v>K</v>
      </c>
      <c r="P13" s="26" t="str">
        <f t="shared" si="0"/>
        <v>CS</v>
      </c>
      <c r="Q13" s="26" t="str">
        <f t="shared" si="1"/>
        <v>ST</v>
      </c>
      <c r="R13" s="26" t="str">
        <f t="shared" si="2"/>
        <v>Lv 2</v>
      </c>
      <c r="S13" s="26" t="str">
        <f t="shared" si="5"/>
        <v>Lv 4</v>
      </c>
      <c r="T13" s="84" t="str">
        <f t="shared" si="6"/>
        <v/>
      </c>
      <c r="U13" s="84" t="str">
        <f t="shared" si="3"/>
        <v/>
      </c>
      <c r="V13" s="85" t="str">
        <f t="shared" si="7"/>
        <v/>
      </c>
    </row>
    <row r="14" spans="1:22" s="23" customFormat="1" ht="72.75" customHeight="1">
      <c r="A14" s="59" t="s">
        <v>108</v>
      </c>
      <c r="B14" s="128" t="s">
        <v>1384</v>
      </c>
      <c r="C14" s="26" t="s">
        <v>116</v>
      </c>
      <c r="D14" s="26" t="s">
        <v>117</v>
      </c>
      <c r="E14" s="26" t="s">
        <v>118</v>
      </c>
      <c r="F14" s="27" t="s">
        <v>119</v>
      </c>
      <c r="G14" s="26" t="s">
        <v>120</v>
      </c>
      <c r="H14" s="27" t="s">
        <v>121</v>
      </c>
      <c r="I14" s="26" t="s">
        <v>122</v>
      </c>
      <c r="J14" s="26">
        <v>350</v>
      </c>
      <c r="K14" s="26" t="s">
        <v>123</v>
      </c>
      <c r="L14" s="28" t="s">
        <v>57</v>
      </c>
      <c r="M14" s="91" t="s">
        <v>23</v>
      </c>
      <c r="N14" s="91"/>
      <c r="O14" s="91" t="str">
        <f t="shared" si="4"/>
        <v>K</v>
      </c>
      <c r="P14" s="26" t="str">
        <f t="shared" si="0"/>
        <v>CS</v>
      </c>
      <c r="Q14" s="26" t="str">
        <f t="shared" si="1"/>
        <v>AF</v>
      </c>
      <c r="R14" s="26" t="str">
        <f t="shared" si="2"/>
        <v>Lv 2</v>
      </c>
      <c r="S14" s="26" t="str">
        <f t="shared" si="5"/>
        <v>Lv 4</v>
      </c>
      <c r="T14" s="84" t="str">
        <f t="shared" si="6"/>
        <v/>
      </c>
      <c r="U14" s="84" t="str">
        <f t="shared" si="3"/>
        <v/>
      </c>
      <c r="V14" s="85" t="str">
        <f t="shared" si="7"/>
        <v/>
      </c>
    </row>
    <row r="15" spans="1:22" s="23" customFormat="1" ht="72.75" customHeight="1">
      <c r="A15" s="59" t="s">
        <v>108</v>
      </c>
      <c r="B15" s="128" t="s">
        <v>1384</v>
      </c>
      <c r="C15" s="26" t="s">
        <v>116</v>
      </c>
      <c r="D15" s="26" t="s">
        <v>117</v>
      </c>
      <c r="E15" s="26" t="s">
        <v>124</v>
      </c>
      <c r="F15" s="26" t="s">
        <v>125</v>
      </c>
      <c r="G15" s="26" t="s">
        <v>126</v>
      </c>
      <c r="H15" s="27" t="s">
        <v>127</v>
      </c>
      <c r="I15" s="26" t="s">
        <v>128</v>
      </c>
      <c r="J15" s="26">
        <v>320</v>
      </c>
      <c r="K15" s="26" t="s">
        <v>129</v>
      </c>
      <c r="L15" s="28" t="s">
        <v>57</v>
      </c>
      <c r="M15" s="91" t="s">
        <v>23</v>
      </c>
      <c r="N15" s="91"/>
      <c r="O15" s="91" t="str">
        <f t="shared" si="4"/>
        <v>K</v>
      </c>
      <c r="P15" s="26" t="str">
        <f t="shared" si="0"/>
        <v>CX</v>
      </c>
      <c r="Q15" s="26" t="str">
        <f t="shared" si="1"/>
        <v>AF</v>
      </c>
      <c r="R15" s="26" t="str">
        <f t="shared" si="2"/>
        <v>Lv 3</v>
      </c>
      <c r="S15" s="26" t="str">
        <f t="shared" si="5"/>
        <v>Lv 4</v>
      </c>
      <c r="T15" s="84" t="str">
        <f t="shared" si="6"/>
        <v/>
      </c>
      <c r="U15" s="84" t="str">
        <f t="shared" si="3"/>
        <v/>
      </c>
      <c r="V15" s="85" t="str">
        <f t="shared" si="7"/>
        <v/>
      </c>
    </row>
    <row r="16" spans="1:22" s="23" customFormat="1" ht="72.75" customHeight="1">
      <c r="A16" s="59" t="s">
        <v>108</v>
      </c>
      <c r="B16" s="128" t="s">
        <v>1384</v>
      </c>
      <c r="C16" s="26" t="s">
        <v>116</v>
      </c>
      <c r="D16" s="26" t="s">
        <v>117</v>
      </c>
      <c r="E16" s="26" t="s">
        <v>130</v>
      </c>
      <c r="F16" s="26" t="s">
        <v>125</v>
      </c>
      <c r="G16" s="26" t="s">
        <v>131</v>
      </c>
      <c r="H16" s="26" t="s">
        <v>132</v>
      </c>
      <c r="I16" s="26" t="s">
        <v>133</v>
      </c>
      <c r="J16" s="26">
        <v>330</v>
      </c>
      <c r="K16" s="26" t="s">
        <v>134</v>
      </c>
      <c r="L16" s="28" t="s">
        <v>57</v>
      </c>
      <c r="M16" s="91" t="s">
        <v>36</v>
      </c>
      <c r="N16" s="91"/>
      <c r="O16" s="91" t="str">
        <f t="shared" si="4"/>
        <v>K</v>
      </c>
      <c r="P16" s="26" t="str">
        <f t="shared" si="0"/>
        <v>P</v>
      </c>
      <c r="Q16" s="26" t="str">
        <f t="shared" si="1"/>
        <v>AF</v>
      </c>
      <c r="R16" s="26" t="str">
        <f t="shared" si="2"/>
        <v>Lv 3</v>
      </c>
      <c r="S16" s="26" t="str">
        <f t="shared" si="5"/>
        <v>Lv 4</v>
      </c>
      <c r="T16" s="84" t="str">
        <f t="shared" si="6"/>
        <v>K-P-AF-Lv 3-Lv 4</v>
      </c>
      <c r="U16" s="84" t="str">
        <f t="shared" si="3"/>
        <v>VS-#3-2WAY</v>
      </c>
      <c r="V16" s="85" t="str">
        <f t="shared" si="7"/>
        <v>⚠️ [파동 주의] 신축 원단+지퍼: 꿀렁임(웨이브) 및 이새 몰림 위험</v>
      </c>
    </row>
    <row r="17" spans="1:22" s="23" customFormat="1" ht="72.75" customHeight="1">
      <c r="A17" s="59" t="s">
        <v>135</v>
      </c>
      <c r="B17" s="128" t="s">
        <v>1384</v>
      </c>
      <c r="C17" s="26" t="s">
        <v>16</v>
      </c>
      <c r="D17" s="26" t="s">
        <v>136</v>
      </c>
      <c r="E17" s="26" t="s">
        <v>137</v>
      </c>
      <c r="F17" s="26" t="s">
        <v>138</v>
      </c>
      <c r="G17" s="26" t="s">
        <v>139</v>
      </c>
      <c r="H17" s="26" t="s">
        <v>140</v>
      </c>
      <c r="I17" s="26" t="s">
        <v>141</v>
      </c>
      <c r="J17" s="26">
        <v>360</v>
      </c>
      <c r="K17" s="27" t="s">
        <v>142</v>
      </c>
      <c r="L17" s="31" t="s">
        <v>143</v>
      </c>
      <c r="M17" s="91" t="s">
        <v>23</v>
      </c>
      <c r="N17" s="91"/>
      <c r="O17" s="91" t="str">
        <f t="shared" si="4"/>
        <v>K</v>
      </c>
      <c r="P17" s="26" t="str">
        <f t="shared" si="0"/>
        <v>CS</v>
      </c>
      <c r="Q17" s="26" t="str">
        <f t="shared" si="1"/>
        <v>ST</v>
      </c>
      <c r="R17" s="26" t="str">
        <f t="shared" si="2"/>
        <v>Lv 2</v>
      </c>
      <c r="S17" s="26" t="str">
        <f t="shared" si="5"/>
        <v>Lv 4</v>
      </c>
      <c r="T17" s="84" t="str">
        <f t="shared" si="6"/>
        <v/>
      </c>
      <c r="U17" s="84" t="str">
        <f t="shared" si="3"/>
        <v/>
      </c>
      <c r="V17" s="85" t="str">
        <f t="shared" si="7"/>
        <v/>
      </c>
    </row>
    <row r="18" spans="1:22" s="23" customFormat="1" ht="72.75" customHeight="1">
      <c r="A18" s="59" t="s">
        <v>135</v>
      </c>
      <c r="B18" s="128" t="s">
        <v>1384</v>
      </c>
      <c r="C18" s="26" t="s">
        <v>144</v>
      </c>
      <c r="D18" s="26" t="s">
        <v>145</v>
      </c>
      <c r="E18" s="26" t="s">
        <v>146</v>
      </c>
      <c r="F18" s="27" t="s">
        <v>119</v>
      </c>
      <c r="G18" s="26" t="s">
        <v>147</v>
      </c>
      <c r="H18" s="27" t="s">
        <v>148</v>
      </c>
      <c r="I18" s="26" t="s">
        <v>23</v>
      </c>
      <c r="J18" s="26">
        <v>320</v>
      </c>
      <c r="K18" s="26" t="s">
        <v>134</v>
      </c>
      <c r="L18" s="31" t="s">
        <v>47</v>
      </c>
      <c r="M18" s="91" t="s">
        <v>23</v>
      </c>
      <c r="N18" s="91"/>
      <c r="O18" s="91" t="str">
        <f t="shared" si="4"/>
        <v>K</v>
      </c>
      <c r="P18" s="26" t="str">
        <f t="shared" si="0"/>
        <v>CX</v>
      </c>
      <c r="Q18" s="26" t="str">
        <f t="shared" si="1"/>
        <v>ST</v>
      </c>
      <c r="R18" s="26" t="str">
        <f t="shared" si="2"/>
        <v>Lv 3</v>
      </c>
      <c r="S18" s="26" t="str">
        <f t="shared" si="5"/>
        <v>Lv 4</v>
      </c>
      <c r="T18" s="84" t="str">
        <f t="shared" si="6"/>
        <v/>
      </c>
      <c r="U18" s="84" t="str">
        <f t="shared" si="3"/>
        <v/>
      </c>
      <c r="V18" s="85" t="str">
        <f t="shared" si="7"/>
        <v/>
      </c>
    </row>
    <row r="19" spans="1:22" s="23" customFormat="1" ht="72.75" customHeight="1">
      <c r="A19" s="59" t="s">
        <v>135</v>
      </c>
      <c r="B19" s="128" t="s">
        <v>1384</v>
      </c>
      <c r="C19" s="26" t="s">
        <v>144</v>
      </c>
      <c r="D19" s="26" t="s">
        <v>145</v>
      </c>
      <c r="E19" s="26" t="s">
        <v>149</v>
      </c>
      <c r="F19" s="27" t="s">
        <v>119</v>
      </c>
      <c r="G19" s="26" t="s">
        <v>147</v>
      </c>
      <c r="H19" s="27" t="s">
        <v>148</v>
      </c>
      <c r="I19" s="26" t="s">
        <v>23</v>
      </c>
      <c r="J19" s="26">
        <v>320</v>
      </c>
      <c r="K19" s="26" t="s">
        <v>134</v>
      </c>
      <c r="L19" s="31" t="s">
        <v>150</v>
      </c>
      <c r="M19" s="91" t="s">
        <v>23</v>
      </c>
      <c r="N19" s="91"/>
      <c r="O19" s="91" t="str">
        <f t="shared" si="4"/>
        <v>K</v>
      </c>
      <c r="P19" s="26" t="str">
        <f t="shared" si="0"/>
        <v>CX</v>
      </c>
      <c r="Q19" s="26" t="str">
        <f t="shared" si="1"/>
        <v>ST</v>
      </c>
      <c r="R19" s="26" t="str">
        <f t="shared" si="2"/>
        <v>Lv 3</v>
      </c>
      <c r="S19" s="26" t="str">
        <f t="shared" si="5"/>
        <v>Lv 4</v>
      </c>
      <c r="T19" s="84" t="str">
        <f t="shared" si="6"/>
        <v/>
      </c>
      <c r="U19" s="84" t="str">
        <f t="shared" si="3"/>
        <v/>
      </c>
      <c r="V19" s="85" t="str">
        <f t="shared" si="7"/>
        <v/>
      </c>
    </row>
    <row r="20" spans="1:22" s="23" customFormat="1" ht="72.75" customHeight="1">
      <c r="A20" s="59" t="s">
        <v>135</v>
      </c>
      <c r="B20" s="128" t="s">
        <v>1384</v>
      </c>
      <c r="C20" s="26" t="s">
        <v>151</v>
      </c>
      <c r="D20" s="26" t="s">
        <v>152</v>
      </c>
      <c r="E20" s="26" t="s">
        <v>153</v>
      </c>
      <c r="F20" s="26" t="s">
        <v>154</v>
      </c>
      <c r="G20" s="26" t="s">
        <v>155</v>
      </c>
      <c r="H20" s="27" t="s">
        <v>156</v>
      </c>
      <c r="I20" s="26" t="s">
        <v>157</v>
      </c>
      <c r="J20" s="26">
        <v>380</v>
      </c>
      <c r="K20" s="27" t="s">
        <v>158</v>
      </c>
      <c r="L20" s="31" t="s">
        <v>159</v>
      </c>
      <c r="M20" s="91" t="s">
        <v>36</v>
      </c>
      <c r="N20" s="91"/>
      <c r="O20" s="91" t="str">
        <f t="shared" si="4"/>
        <v>K</v>
      </c>
      <c r="P20" s="26" t="str">
        <f t="shared" si="0"/>
        <v>P</v>
      </c>
      <c r="Q20" s="26" t="str">
        <f t="shared" si="1"/>
        <v>AF</v>
      </c>
      <c r="R20" s="26" t="str">
        <f t="shared" si="2"/>
        <v>Lv 1</v>
      </c>
      <c r="S20" s="26" t="str">
        <f t="shared" si="5"/>
        <v>Lv 5</v>
      </c>
      <c r="T20" s="84" t="str">
        <f t="shared" si="6"/>
        <v>K-P-AF-Lv 1-Lv 5</v>
      </c>
      <c r="U20" s="84" t="str">
        <f t="shared" si="3"/>
        <v>VS-#5-OE</v>
      </c>
      <c r="V20" s="85" t="str">
        <f t="shared" si="7"/>
        <v>⚠️ [파동 주의] 신축 원단+지퍼: 꿀렁임(웨이브) 및 이새 몰림 위험</v>
      </c>
    </row>
    <row r="21" spans="1:22" s="23" customFormat="1" ht="72.75" customHeight="1">
      <c r="A21" s="59" t="s">
        <v>135</v>
      </c>
      <c r="B21" s="38" t="s">
        <v>421</v>
      </c>
      <c r="C21" s="26" t="s">
        <v>49</v>
      </c>
      <c r="D21" s="26" t="s">
        <v>50</v>
      </c>
      <c r="E21" s="26" t="s">
        <v>160</v>
      </c>
      <c r="F21" s="27" t="s">
        <v>161</v>
      </c>
      <c r="G21" s="26" t="s">
        <v>162</v>
      </c>
      <c r="H21" s="26" t="s">
        <v>163</v>
      </c>
      <c r="I21" s="26" t="s">
        <v>164</v>
      </c>
      <c r="J21" s="26">
        <v>155</v>
      </c>
      <c r="K21" s="26" t="s">
        <v>56</v>
      </c>
      <c r="L21" s="31" t="s">
        <v>165</v>
      </c>
      <c r="M21" s="91" t="s">
        <v>23</v>
      </c>
      <c r="N21" s="91"/>
      <c r="O21" s="91" t="str">
        <f t="shared" si="4"/>
        <v>W</v>
      </c>
      <c r="P21" s="26" t="str">
        <f t="shared" si="0"/>
        <v>NX</v>
      </c>
      <c r="Q21" s="26" t="str">
        <f t="shared" si="1"/>
        <v>FN</v>
      </c>
      <c r="R21" s="26" t="str">
        <f t="shared" si="2"/>
        <v>Lv 3</v>
      </c>
      <c r="S21" s="26" t="str">
        <f t="shared" si="5"/>
        <v>Lv 2</v>
      </c>
      <c r="T21" s="84" t="str">
        <f t="shared" si="6"/>
        <v/>
      </c>
      <c r="U21" s="84" t="str">
        <f t="shared" si="3"/>
        <v/>
      </c>
      <c r="V21" s="85" t="str">
        <f t="shared" si="7"/>
        <v/>
      </c>
    </row>
    <row r="22" spans="1:22" s="23" customFormat="1" ht="72.75" customHeight="1">
      <c r="A22" s="59" t="s">
        <v>135</v>
      </c>
      <c r="B22" s="38" t="s">
        <v>421</v>
      </c>
      <c r="C22" s="26" t="s">
        <v>49</v>
      </c>
      <c r="D22" s="26" t="s">
        <v>166</v>
      </c>
      <c r="E22" s="5" t="s">
        <v>167</v>
      </c>
      <c r="F22" s="26" t="s">
        <v>60</v>
      </c>
      <c r="G22" s="26" t="s">
        <v>168</v>
      </c>
      <c r="H22" s="26" t="s">
        <v>70</v>
      </c>
      <c r="I22" s="26" t="s">
        <v>169</v>
      </c>
      <c r="J22" s="26">
        <v>36</v>
      </c>
      <c r="K22" s="27" t="s">
        <v>170</v>
      </c>
      <c r="L22" s="31" t="s">
        <v>47</v>
      </c>
      <c r="M22" s="91" t="s">
        <v>23</v>
      </c>
      <c r="N22" s="91"/>
      <c r="O22" s="91" t="str">
        <f t="shared" si="4"/>
        <v>W</v>
      </c>
      <c r="P22" s="26" t="str">
        <f t="shared" si="0"/>
        <v>N</v>
      </c>
      <c r="Q22" s="26" t="str">
        <f t="shared" si="1"/>
        <v>WR</v>
      </c>
      <c r="R22" s="26" t="str">
        <f t="shared" si="2"/>
        <v>Lv 1</v>
      </c>
      <c r="S22" s="26" t="str">
        <f t="shared" si="5"/>
        <v>Lv 1</v>
      </c>
      <c r="T22" s="84" t="str">
        <f t="shared" si="6"/>
        <v/>
      </c>
      <c r="U22" s="84" t="str">
        <f t="shared" si="3"/>
        <v/>
      </c>
      <c r="V22" s="85" t="str">
        <f t="shared" si="7"/>
        <v/>
      </c>
    </row>
    <row r="23" spans="1:22" s="23" customFormat="1" ht="72.75" customHeight="1">
      <c r="A23" s="59" t="s">
        <v>135</v>
      </c>
      <c r="B23" s="38" t="s">
        <v>421</v>
      </c>
      <c r="C23" s="26" t="s">
        <v>49</v>
      </c>
      <c r="D23" s="26" t="s">
        <v>171</v>
      </c>
      <c r="E23" s="26" t="s">
        <v>172</v>
      </c>
      <c r="F23" s="26" t="s">
        <v>173</v>
      </c>
      <c r="G23" s="26" t="s">
        <v>174</v>
      </c>
      <c r="H23" s="27" t="s">
        <v>175</v>
      </c>
      <c r="I23" s="26" t="s">
        <v>176</v>
      </c>
      <c r="J23" s="26">
        <v>59</v>
      </c>
      <c r="K23" s="27" t="s">
        <v>177</v>
      </c>
      <c r="L23" s="31" t="s">
        <v>178</v>
      </c>
      <c r="M23" s="91" t="s">
        <v>23</v>
      </c>
      <c r="N23" s="91"/>
      <c r="O23" s="91" t="str">
        <f t="shared" si="4"/>
        <v>W</v>
      </c>
      <c r="P23" s="26" t="str">
        <f t="shared" si="0"/>
        <v>N</v>
      </c>
      <c r="Q23" s="26" t="str">
        <f t="shared" si="1"/>
        <v>WR</v>
      </c>
      <c r="R23" s="26" t="str">
        <f t="shared" si="2"/>
        <v>Lv 1</v>
      </c>
      <c r="S23" s="26" t="str">
        <f t="shared" si="5"/>
        <v>Lv 1</v>
      </c>
      <c r="T23" s="84" t="str">
        <f t="shared" si="6"/>
        <v/>
      </c>
      <c r="U23" s="84" t="str">
        <f t="shared" si="3"/>
        <v/>
      </c>
      <c r="V23" s="85" t="str">
        <f t="shared" si="7"/>
        <v/>
      </c>
    </row>
    <row r="24" spans="1:22" s="23" customFormat="1" ht="72.75" customHeight="1">
      <c r="A24" s="59" t="s">
        <v>135</v>
      </c>
      <c r="B24" s="38" t="s">
        <v>421</v>
      </c>
      <c r="C24" s="26" t="s">
        <v>49</v>
      </c>
      <c r="D24" s="26" t="s">
        <v>171</v>
      </c>
      <c r="E24" s="26" t="s">
        <v>179</v>
      </c>
      <c r="F24" s="26" t="s">
        <v>180</v>
      </c>
      <c r="G24" s="26" t="s">
        <v>181</v>
      </c>
      <c r="H24" s="26" t="s">
        <v>70</v>
      </c>
      <c r="I24" s="26" t="s">
        <v>182</v>
      </c>
      <c r="J24" s="26">
        <v>88</v>
      </c>
      <c r="K24" s="27" t="s">
        <v>183</v>
      </c>
      <c r="L24" s="31" t="s">
        <v>184</v>
      </c>
      <c r="M24" s="91" t="s">
        <v>36</v>
      </c>
      <c r="N24" s="91"/>
      <c r="O24" s="91" t="str">
        <f t="shared" si="4"/>
        <v>W</v>
      </c>
      <c r="P24" s="26" t="str">
        <f t="shared" si="0"/>
        <v>N</v>
      </c>
      <c r="Q24" s="26" t="str">
        <f t="shared" si="1"/>
        <v>WP</v>
      </c>
      <c r="R24" s="26" t="str">
        <f t="shared" si="2"/>
        <v>Lv 1</v>
      </c>
      <c r="S24" s="26" t="str">
        <f t="shared" si="5"/>
        <v>Lv 2</v>
      </c>
      <c r="T24" s="84" t="str">
        <f t="shared" si="6"/>
        <v>W-N-WP-Lv 1-Lv 2</v>
      </c>
      <c r="U24" s="84" t="str">
        <f t="shared" si="3"/>
        <v>VS-#3-OE</v>
      </c>
      <c r="V24" s="85" t="str">
        <f t="shared" si="7"/>
        <v>⚠️ [파동 주의] 신축 원단+지퍼: 꿀렁임(웨이브) 및 이새 몰림 위험</v>
      </c>
    </row>
    <row r="25" spans="1:22" s="23" customFormat="1" ht="72.75" customHeight="1">
      <c r="A25" s="59" t="s">
        <v>135</v>
      </c>
      <c r="B25" s="38" t="s">
        <v>421</v>
      </c>
      <c r="C25" s="26" t="s">
        <v>49</v>
      </c>
      <c r="D25" s="26" t="s">
        <v>171</v>
      </c>
      <c r="E25" s="26" t="s">
        <v>185</v>
      </c>
      <c r="F25" s="26" t="s">
        <v>173</v>
      </c>
      <c r="G25" s="26" t="s">
        <v>186</v>
      </c>
      <c r="H25" s="27" t="s">
        <v>156</v>
      </c>
      <c r="I25" s="26" t="s">
        <v>187</v>
      </c>
      <c r="J25" s="26">
        <v>102</v>
      </c>
      <c r="K25" s="26" t="s">
        <v>188</v>
      </c>
      <c r="L25" s="31" t="s">
        <v>189</v>
      </c>
      <c r="M25" s="91" t="s">
        <v>23</v>
      </c>
      <c r="N25" s="91"/>
      <c r="O25" s="91" t="str">
        <f t="shared" si="4"/>
        <v>W</v>
      </c>
      <c r="P25" s="26" t="str">
        <f t="shared" si="0"/>
        <v>P</v>
      </c>
      <c r="Q25" s="26" t="str">
        <f t="shared" si="1"/>
        <v>WR</v>
      </c>
      <c r="R25" s="26" t="str">
        <f t="shared" si="2"/>
        <v>Lv 1</v>
      </c>
      <c r="S25" s="26" t="str">
        <f t="shared" si="5"/>
        <v>Lv 2</v>
      </c>
      <c r="T25" s="84" t="str">
        <f t="shared" si="6"/>
        <v/>
      </c>
      <c r="U25" s="84" t="str">
        <f t="shared" si="3"/>
        <v/>
      </c>
      <c r="V25" s="85" t="str">
        <f t="shared" si="7"/>
        <v/>
      </c>
    </row>
    <row r="26" spans="1:22" s="23" customFormat="1" ht="72.75" customHeight="1">
      <c r="A26" s="59" t="s">
        <v>135</v>
      </c>
      <c r="B26" s="38" t="s">
        <v>421</v>
      </c>
      <c r="C26" s="26" t="s">
        <v>49</v>
      </c>
      <c r="D26" s="26" t="s">
        <v>190</v>
      </c>
      <c r="E26" s="26" t="s">
        <v>191</v>
      </c>
      <c r="F26" s="26" t="s">
        <v>192</v>
      </c>
      <c r="G26" s="26" t="s">
        <v>193</v>
      </c>
      <c r="H26" s="26" t="s">
        <v>156</v>
      </c>
      <c r="I26" s="26" t="s">
        <v>194</v>
      </c>
      <c r="J26" s="26">
        <v>122</v>
      </c>
      <c r="K26" s="27" t="s">
        <v>195</v>
      </c>
      <c r="L26" s="31" t="s">
        <v>196</v>
      </c>
      <c r="M26" s="91" t="s">
        <v>23</v>
      </c>
      <c r="N26" s="91"/>
      <c r="O26" s="91" t="str">
        <f t="shared" si="4"/>
        <v>W</v>
      </c>
      <c r="P26" s="26" t="str">
        <f t="shared" si="0"/>
        <v>P</v>
      </c>
      <c r="Q26" s="26" t="str">
        <f t="shared" si="1"/>
        <v>WP</v>
      </c>
      <c r="R26" s="26" t="str">
        <f t="shared" si="2"/>
        <v>Lv 1</v>
      </c>
      <c r="S26" s="26" t="str">
        <f t="shared" si="5"/>
        <v>Lv 2</v>
      </c>
      <c r="T26" s="84" t="str">
        <f t="shared" si="6"/>
        <v/>
      </c>
      <c r="U26" s="84" t="str">
        <f t="shared" si="3"/>
        <v/>
      </c>
      <c r="V26" s="85" t="str">
        <f t="shared" si="7"/>
        <v/>
      </c>
    </row>
    <row r="27" spans="1:22" s="23" customFormat="1" ht="72.75" customHeight="1">
      <c r="A27" s="59" t="s">
        <v>135</v>
      </c>
      <c r="B27" s="38" t="s">
        <v>421</v>
      </c>
      <c r="C27" s="26" t="s">
        <v>49</v>
      </c>
      <c r="D27" s="26" t="s">
        <v>190</v>
      </c>
      <c r="E27" s="26" t="s">
        <v>197</v>
      </c>
      <c r="F27" s="27" t="s">
        <v>161</v>
      </c>
      <c r="G27" s="26" t="s">
        <v>198</v>
      </c>
      <c r="H27" s="27" t="s">
        <v>70</v>
      </c>
      <c r="I27" s="26" t="s">
        <v>176</v>
      </c>
      <c r="J27" s="26">
        <v>80</v>
      </c>
      <c r="K27" s="27" t="s">
        <v>199</v>
      </c>
      <c r="L27" s="31" t="s">
        <v>200</v>
      </c>
      <c r="M27" s="91" t="s">
        <v>36</v>
      </c>
      <c r="N27" s="91"/>
      <c r="O27" s="91" t="str">
        <f t="shared" si="4"/>
        <v>W</v>
      </c>
      <c r="P27" s="26" t="str">
        <f t="shared" si="0"/>
        <v>N</v>
      </c>
      <c r="Q27" s="26" t="str">
        <f t="shared" si="1"/>
        <v>WR</v>
      </c>
      <c r="R27" s="26" t="str">
        <f t="shared" si="2"/>
        <v>Lv 1</v>
      </c>
      <c r="S27" s="26" t="str">
        <f t="shared" si="5"/>
        <v>Lv 1</v>
      </c>
      <c r="T27" s="84" t="str">
        <f t="shared" si="6"/>
        <v>W-N-WR-Lv 1-Lv 1</v>
      </c>
      <c r="U27" s="84" t="str">
        <f t="shared" si="3"/>
        <v>VS-#3-OE</v>
      </c>
      <c r="V27" s="85" t="str">
        <f t="shared" si="7"/>
        <v>⚠️ [박지 주의] 초경량 원단: 지퍼 무게에 의한 처짐 및 미어짐 주의</v>
      </c>
    </row>
    <row r="28" spans="1:22" s="23" customFormat="1" ht="72.75" customHeight="1">
      <c r="A28" s="59" t="s">
        <v>135</v>
      </c>
      <c r="B28" s="38" t="s">
        <v>421</v>
      </c>
      <c r="C28" s="26" t="s">
        <v>49</v>
      </c>
      <c r="D28" s="26" t="s">
        <v>190</v>
      </c>
      <c r="E28" s="26" t="s">
        <v>201</v>
      </c>
      <c r="F28" s="26" t="s">
        <v>60</v>
      </c>
      <c r="G28" s="26" t="s">
        <v>202</v>
      </c>
      <c r="H28" s="26" t="s">
        <v>156</v>
      </c>
      <c r="I28" s="26" t="s">
        <v>203</v>
      </c>
      <c r="J28" s="26">
        <v>95</v>
      </c>
      <c r="K28" s="27" t="s">
        <v>72</v>
      </c>
      <c r="L28" s="31" t="s">
        <v>204</v>
      </c>
      <c r="M28" s="91" t="s">
        <v>23</v>
      </c>
      <c r="N28" s="91"/>
      <c r="O28" s="91" t="str">
        <f t="shared" si="4"/>
        <v>W</v>
      </c>
      <c r="P28" s="26" t="str">
        <f t="shared" si="0"/>
        <v>P</v>
      </c>
      <c r="Q28" s="26" t="str">
        <f t="shared" si="1"/>
        <v>WR</v>
      </c>
      <c r="R28" s="26" t="str">
        <f t="shared" si="2"/>
        <v>Lv 1</v>
      </c>
      <c r="S28" s="26" t="str">
        <f t="shared" si="5"/>
        <v>Lv 2</v>
      </c>
      <c r="T28" s="84" t="str">
        <f t="shared" si="6"/>
        <v/>
      </c>
      <c r="U28" s="84" t="str">
        <f t="shared" si="3"/>
        <v/>
      </c>
      <c r="V28" s="85" t="str">
        <f t="shared" si="7"/>
        <v/>
      </c>
    </row>
    <row r="29" spans="1:22" s="23" customFormat="1" ht="72.75" customHeight="1">
      <c r="A29" s="59" t="s">
        <v>135</v>
      </c>
      <c r="B29" s="38" t="s">
        <v>421</v>
      </c>
      <c r="C29" s="26" t="s">
        <v>65</v>
      </c>
      <c r="D29" s="26" t="s">
        <v>66</v>
      </c>
      <c r="E29" s="26" t="s">
        <v>205</v>
      </c>
      <c r="F29" s="26" t="s">
        <v>206</v>
      </c>
      <c r="G29" s="26" t="s">
        <v>207</v>
      </c>
      <c r="H29" s="27" t="s">
        <v>156</v>
      </c>
      <c r="I29" s="26" t="s">
        <v>208</v>
      </c>
      <c r="J29" s="26">
        <v>148</v>
      </c>
      <c r="K29" s="27" t="s">
        <v>177</v>
      </c>
      <c r="L29" s="31" t="s">
        <v>204</v>
      </c>
      <c r="M29" s="91" t="s">
        <v>23</v>
      </c>
      <c r="N29" s="91"/>
      <c r="O29" s="91" t="str">
        <f t="shared" si="4"/>
        <v>W</v>
      </c>
      <c r="P29" s="26" t="str">
        <f t="shared" si="0"/>
        <v>P</v>
      </c>
      <c r="Q29" s="26" t="str">
        <f t="shared" si="1"/>
        <v>WR</v>
      </c>
      <c r="R29" s="26" t="str">
        <f t="shared" si="2"/>
        <v>Lv 1</v>
      </c>
      <c r="S29" s="26" t="str">
        <f t="shared" si="5"/>
        <v>Lv 2</v>
      </c>
      <c r="T29" s="84" t="str">
        <f t="shared" si="6"/>
        <v/>
      </c>
      <c r="U29" s="84" t="str">
        <f t="shared" si="3"/>
        <v/>
      </c>
      <c r="V29" s="85" t="str">
        <f t="shared" si="7"/>
        <v/>
      </c>
    </row>
    <row r="30" spans="1:22" s="23" customFormat="1" ht="72.75" customHeight="1">
      <c r="A30" s="59" t="s">
        <v>135</v>
      </c>
      <c r="B30" s="38" t="s">
        <v>421</v>
      </c>
      <c r="C30" s="26" t="s">
        <v>65</v>
      </c>
      <c r="D30" s="26" t="s">
        <v>66</v>
      </c>
      <c r="E30" s="26" t="s">
        <v>209</v>
      </c>
      <c r="F30" s="26" t="s">
        <v>210</v>
      </c>
      <c r="G30" s="26" t="s">
        <v>211</v>
      </c>
      <c r="H30" s="26" t="s">
        <v>212</v>
      </c>
      <c r="I30" s="26" t="s">
        <v>213</v>
      </c>
      <c r="J30" s="26">
        <v>92</v>
      </c>
      <c r="K30" s="27" t="s">
        <v>214</v>
      </c>
      <c r="L30" s="31" t="s">
        <v>215</v>
      </c>
      <c r="M30" s="91" t="s">
        <v>23</v>
      </c>
      <c r="N30" s="91"/>
      <c r="O30" s="91" t="str">
        <f t="shared" si="4"/>
        <v>W</v>
      </c>
      <c r="P30" s="26" t="str">
        <f t="shared" si="0"/>
        <v>P</v>
      </c>
      <c r="Q30" s="26" t="str">
        <f t="shared" si="1"/>
        <v>WP</v>
      </c>
      <c r="R30" s="26" t="str">
        <f t="shared" si="2"/>
        <v>Lv 1</v>
      </c>
      <c r="S30" s="26" t="str">
        <f t="shared" si="5"/>
        <v>Lv 2</v>
      </c>
      <c r="T30" s="84" t="str">
        <f t="shared" si="6"/>
        <v/>
      </c>
      <c r="U30" s="84" t="str">
        <f t="shared" si="3"/>
        <v/>
      </c>
      <c r="V30" s="85" t="str">
        <f t="shared" si="7"/>
        <v/>
      </c>
    </row>
    <row r="31" spans="1:22" s="23" customFormat="1" ht="72.75" customHeight="1">
      <c r="A31" s="59" t="s">
        <v>135</v>
      </c>
      <c r="B31" s="38" t="s">
        <v>421</v>
      </c>
      <c r="C31" s="26" t="s">
        <v>65</v>
      </c>
      <c r="D31" s="26" t="s">
        <v>216</v>
      </c>
      <c r="E31" s="26" t="s">
        <v>217</v>
      </c>
      <c r="F31" s="26" t="s">
        <v>60</v>
      </c>
      <c r="G31" s="26" t="s">
        <v>168</v>
      </c>
      <c r="H31" s="26" t="s">
        <v>70</v>
      </c>
      <c r="I31" s="26" t="s">
        <v>169</v>
      </c>
      <c r="J31" s="26">
        <v>36</v>
      </c>
      <c r="K31" s="27" t="s">
        <v>218</v>
      </c>
      <c r="L31" s="31" t="s">
        <v>204</v>
      </c>
      <c r="M31" s="91" t="s">
        <v>23</v>
      </c>
      <c r="N31" s="91"/>
      <c r="O31" s="91" t="str">
        <f t="shared" si="4"/>
        <v>W</v>
      </c>
      <c r="P31" s="26" t="str">
        <f t="shared" si="0"/>
        <v>N</v>
      </c>
      <c r="Q31" s="26" t="str">
        <f t="shared" si="1"/>
        <v>WR</v>
      </c>
      <c r="R31" s="26" t="str">
        <f t="shared" si="2"/>
        <v>Lv 1</v>
      </c>
      <c r="S31" s="26" t="str">
        <f t="shared" si="5"/>
        <v>Lv 1</v>
      </c>
      <c r="T31" s="84" t="str">
        <f t="shared" si="6"/>
        <v/>
      </c>
      <c r="U31" s="84" t="str">
        <f t="shared" si="3"/>
        <v/>
      </c>
      <c r="V31" s="85" t="str">
        <f t="shared" si="7"/>
        <v/>
      </c>
    </row>
    <row r="32" spans="1:22" s="23" customFormat="1" ht="72.75" customHeight="1">
      <c r="A32" s="59" t="s">
        <v>135</v>
      </c>
      <c r="B32" s="38" t="s">
        <v>421</v>
      </c>
      <c r="C32" s="26" t="s">
        <v>65</v>
      </c>
      <c r="D32" s="26" t="s">
        <v>219</v>
      </c>
      <c r="E32" s="26" t="s">
        <v>220</v>
      </c>
      <c r="F32" s="27" t="s">
        <v>161</v>
      </c>
      <c r="G32" s="26" t="s">
        <v>221</v>
      </c>
      <c r="H32" s="26" t="s">
        <v>156</v>
      </c>
      <c r="I32" s="26" t="s">
        <v>35</v>
      </c>
      <c r="J32" s="26">
        <v>148</v>
      </c>
      <c r="K32" s="27" t="s">
        <v>222</v>
      </c>
      <c r="L32" s="31" t="s">
        <v>223</v>
      </c>
      <c r="M32" s="91" t="s">
        <v>23</v>
      </c>
      <c r="N32" s="91"/>
      <c r="O32" s="91" t="str">
        <f t="shared" si="4"/>
        <v>W</v>
      </c>
      <c r="P32" s="26" t="str">
        <f t="shared" si="0"/>
        <v>P</v>
      </c>
      <c r="Q32" s="26" t="str">
        <f t="shared" si="1"/>
        <v>WR</v>
      </c>
      <c r="R32" s="26" t="str">
        <f t="shared" si="2"/>
        <v>Lv 1</v>
      </c>
      <c r="S32" s="26" t="str">
        <f t="shared" si="5"/>
        <v>Lv 2</v>
      </c>
      <c r="T32" s="84" t="str">
        <f t="shared" si="6"/>
        <v/>
      </c>
      <c r="U32" s="84" t="str">
        <f t="shared" si="3"/>
        <v/>
      </c>
      <c r="V32" s="85" t="str">
        <f t="shared" si="7"/>
        <v/>
      </c>
    </row>
    <row r="33" spans="1:22" s="23" customFormat="1" ht="72.75" customHeight="1">
      <c r="A33" s="59" t="s">
        <v>135</v>
      </c>
      <c r="B33" s="38" t="s">
        <v>421</v>
      </c>
      <c r="C33" s="26" t="s">
        <v>65</v>
      </c>
      <c r="D33" s="26" t="s">
        <v>224</v>
      </c>
      <c r="E33" s="26" t="s">
        <v>225</v>
      </c>
      <c r="F33" s="26" t="s">
        <v>68</v>
      </c>
      <c r="G33" s="26" t="s">
        <v>226</v>
      </c>
      <c r="H33" s="27" t="s">
        <v>227</v>
      </c>
      <c r="I33" s="26" t="s">
        <v>46</v>
      </c>
      <c r="J33" s="26">
        <v>345</v>
      </c>
      <c r="K33" s="26" t="s">
        <v>228</v>
      </c>
      <c r="L33" s="31" t="s">
        <v>47</v>
      </c>
      <c r="M33" s="91" t="s">
        <v>36</v>
      </c>
      <c r="N33" s="91"/>
      <c r="O33" s="91" t="str">
        <f t="shared" si="4"/>
        <v>W</v>
      </c>
      <c r="P33" s="26" t="str">
        <f t="shared" si="0"/>
        <v>CX</v>
      </c>
      <c r="Q33" s="26" t="str">
        <f t="shared" si="1"/>
        <v>ST</v>
      </c>
      <c r="R33" s="26" t="str">
        <f t="shared" si="2"/>
        <v>Lv 3</v>
      </c>
      <c r="S33" s="26" t="str">
        <f t="shared" si="5"/>
        <v>Lv 4</v>
      </c>
      <c r="T33" s="84" t="str">
        <f t="shared" si="6"/>
        <v>W-CX-ST-Lv 3-Lv 4</v>
      </c>
      <c r="U33" s="84" t="str">
        <f t="shared" si="3"/>
        <v>METAL-#5-OE</v>
      </c>
      <c r="V33" s="85" t="str">
        <f t="shared" si="7"/>
        <v>⚠️ [파동 주의] 신축 원단+지퍼: 꿀렁임(웨이브) 및 이새 몰림 위험</v>
      </c>
    </row>
    <row r="34" spans="1:22" s="23" customFormat="1" ht="72.75" customHeight="1">
      <c r="A34" s="59" t="s">
        <v>135</v>
      </c>
      <c r="B34" s="38" t="s">
        <v>421</v>
      </c>
      <c r="C34" s="26" t="s">
        <v>65</v>
      </c>
      <c r="D34" s="26" t="s">
        <v>229</v>
      </c>
      <c r="E34" s="26" t="s">
        <v>230</v>
      </c>
      <c r="F34" s="26" t="s">
        <v>68</v>
      </c>
      <c r="G34" s="26" t="s">
        <v>231</v>
      </c>
      <c r="H34" s="27" t="s">
        <v>156</v>
      </c>
      <c r="I34" s="27" t="s">
        <v>232</v>
      </c>
      <c r="J34" s="26">
        <v>100</v>
      </c>
      <c r="K34" s="26" t="s">
        <v>233</v>
      </c>
      <c r="L34" s="31" t="s">
        <v>234</v>
      </c>
      <c r="M34" s="91" t="s">
        <v>23</v>
      </c>
      <c r="N34" s="91"/>
      <c r="O34" s="91" t="str">
        <f t="shared" si="4"/>
        <v>W</v>
      </c>
      <c r="P34" s="26" t="str">
        <f t="shared" ref="P34:P70" si="8">IF(H34="", "",
 IF(AND(ISNUMBER(SEARCH("Cotton", H34)), OR(ISNUMBER(SEARCH("Sorona", H34)), ISNUMBER(SEARCH("Polyester(Sorona)", H34)))), "CS",
  IF(AND(ISNUMBER(SEARCH("Nylon", H34)), OR(ISNUMBER(SEARCH("Span", H34)), ISNUMBER(SEARCH("Polyurethane", H34)), ISNUMBER(SEARCH("Elastane", H34)))), "NX",
   IF(AND(ISNUMBER(SEARCH("Nylon", H34)), NOT(OR(ISNUMBER(SEARCH("Cotton", H34)), ISNUMBER(SEARCH("Polyester", H34)), ISNUMBER(SEARCH("Rayon", H34)), ISNUMBER(SEARCH("Modal", H34)), ISNUMBER(SEARCH("Viscose", H34))))), "N",
    IF(AND(ISNUMBER(SEARCH("Cotton", H34)), NOT(OR(ISNUMBER(SEARCH("Polyester", H34)), ISNUMBER(SEARCH("Nylon", H34)), ISNUMBER(SEARCH("Rayon", H34)), ISNUMBER(SEARCH("Modal", H34)), ISNUMBER(SEARCH("Viscose", H34)), ISNUMBER(SEARCH("Polyurethane", H34)), ISNUMBER(SEARCH("Span", H34))))), "C",
     IF(ISNUMBER(SEARCH("Cotton", H34)), "CX",
      IF(AND(ISNUMBER(SEARCH("Polyester", H34)), NOT(OR(ISNUMBER(SEARCH("Cotton", H34)), ISNUMBER(SEARCH("Nylon", H34)), ISNUMBER(SEARCH("Wool", H34)), ISNUMBER(SEARCH("Rayon", H34))))), "P",
       "S")))))))</f>
        <v>P</v>
      </c>
      <c r="Q34" s="26" t="str">
        <f t="shared" ref="Q34:Q70" si="9">IF(OR(I34="", I34="X", I34="None"), "ST",
 IF(OR(ISNUMBER(SEARCH("Layer", I34)), ISNUMBER(SEARCH("Lamination", I34)), ISNUMBER(SEARCH("TPU", I34)), ISNUMBER(SEARCH("PU", I34))), "WP",
  IF(OR(ISNUMBER(SEARCH("WR", I34)), ISNUMBER(SEARCH("DWR", I34)), ISNUMBER(SEARCH("Cire", I34)), ISNUMBER(SEARCH("Coating", I34)), ISNUMBER(SEARCH("Print", I34))), "WR",
   IF(OR(ISNUMBER(SEARCH("Bio", I34)), ISNUMBER(SEARCH("Enzyme", I34)), ISNUMBER(SEARCH("Peach", I34)), ISNUMBER(SEARCH("Brush", I34)), ISNUMBER(SEARCH("Tumble", I34)), ISNUMBER(SEARCH("Airo", I34))), "AF",
    IF(OR(ISNUMBER(SEARCH("UV", I34)), ISNUMBER(SEARCH("Dry", I34)), ISNUMBER(SEARCH("Wick", I34)), ISNUMBER(SEARCH("Hydrolysis", I34))), "FN",
     "ST")))))</f>
        <v>WP</v>
      </c>
      <c r="R34" s="26" t="str">
        <f t="shared" ref="R34:R70" si="10">IF(H34="", "",
 IF(OR(ISNUMBER(SEARCH("Span",H34)), ISNUMBER(SEARCH("Polyurethane",H34)), ISNUMBER(SEARCH("PU",H34))),
    IF(IFERROR(VALUE(LEFT(SUBSTITUTE(MID(H34,SEARCH("%",H34)-3,3),",",""),2)),0)&gt;=12, "Lv 5",
    IF(IFERROR(VALUE(LEFT(SUBSTITUTE(MID(H34,SEARCH("%",H34)-3,3),",",""),2)),0)&gt;=6, "Lv 4", "Lv 3")),
    IF(OR(ISNUMBER(SEARCH("Sorona",H34)), ISNUMBER(SEARCH("T400",H34)), ISNUMBER(SEARCH("Knit",H34))), "Lv 2", "Lv 1")
 ))</f>
        <v>Lv 1</v>
      </c>
      <c r="S34" s="26" t="str">
        <f t="shared" si="5"/>
        <v>Lv 2</v>
      </c>
      <c r="T34" s="84" t="str">
        <f t="shared" si="6"/>
        <v/>
      </c>
      <c r="U34" s="84" t="str">
        <f t="shared" ref="U34:U70" si="11">IF(M34&lt;&gt;"O", "",
  IF(ISNUMBER(SEARCH("METALUX", K34)), "METALUX",
  IF(ISNUMBER(SEARCH("METAL", K34)), "METAL",
  IF(AND(ISNUMBER(SEARCH("WR", K34)), ISNUMBER(SEARCH("NY", K34))), "NYWR",
  IF(AND(ISNUMBER(SEARCH("WR", K34)), OR(ISNUMBER(SEARCH("VS", K34)), ISNUMBER(SEARCH("VISLON", K34)))), "VSWR",
  IF(OR(ISNUMBER(SEARCH("VS", K34)), ISNUMBER(SEARCH("VISLON", K34))), "VS", "NY")))))
  &amp; "-" &amp; IF(ISNUMBER(SEARCH("#3", K34)), "#3", "#5")
  &amp; "-" &amp; IF(ISNUMBER(SEARCH("2-WAY", K34)), "2WAY", IF(ISNUMBER(SEARCH("C/E", K34)), "CE", "OE"))
)</f>
        <v/>
      </c>
      <c r="V34" s="85" t="str">
        <f t="shared" si="7"/>
        <v/>
      </c>
    </row>
    <row r="35" spans="1:22" s="23" customFormat="1" ht="72.75" customHeight="1">
      <c r="A35" s="59" t="s">
        <v>135</v>
      </c>
      <c r="B35" s="38" t="s">
        <v>421</v>
      </c>
      <c r="C35" s="26" t="s">
        <v>65</v>
      </c>
      <c r="D35" s="32" t="s">
        <v>216</v>
      </c>
      <c r="E35" s="26" t="s">
        <v>235</v>
      </c>
      <c r="F35" s="26" t="s">
        <v>60</v>
      </c>
      <c r="G35" s="26" t="s">
        <v>168</v>
      </c>
      <c r="H35" s="26" t="s">
        <v>70</v>
      </c>
      <c r="I35" s="26" t="s">
        <v>169</v>
      </c>
      <c r="J35" s="26">
        <v>36</v>
      </c>
      <c r="K35" s="26" t="s">
        <v>236</v>
      </c>
      <c r="L35" s="28" t="s">
        <v>47</v>
      </c>
      <c r="M35" s="91" t="s">
        <v>36</v>
      </c>
      <c r="N35" s="91"/>
      <c r="O35" s="91" t="str">
        <f t="shared" si="4"/>
        <v>W</v>
      </c>
      <c r="P35" s="26" t="str">
        <f t="shared" si="8"/>
        <v>N</v>
      </c>
      <c r="Q35" s="26" t="str">
        <f t="shared" si="9"/>
        <v>WR</v>
      </c>
      <c r="R35" s="26" t="str">
        <f t="shared" si="10"/>
        <v>Lv 1</v>
      </c>
      <c r="S35" s="26" t="str">
        <f t="shared" si="5"/>
        <v>Lv 1</v>
      </c>
      <c r="T35" s="84" t="str">
        <f t="shared" si="6"/>
        <v>W-N-WR-Lv 1-Lv 1</v>
      </c>
      <c r="U35" s="84" t="str">
        <f t="shared" si="11"/>
        <v>VS-#3-2WAY</v>
      </c>
      <c r="V35" s="85" t="str">
        <f t="shared" si="7"/>
        <v>⚠️ [박지 주의] 초경량 원단: 지퍼 무게에 의한 처짐 및 미어짐 주의</v>
      </c>
    </row>
    <row r="36" spans="1:22" s="23" customFormat="1" ht="72.75" customHeight="1">
      <c r="A36" s="59" t="s">
        <v>135</v>
      </c>
      <c r="B36" s="38" t="s">
        <v>421</v>
      </c>
      <c r="C36" s="26" t="s">
        <v>65</v>
      </c>
      <c r="D36" s="26" t="s">
        <v>237</v>
      </c>
      <c r="E36" s="26" t="s">
        <v>238</v>
      </c>
      <c r="F36" s="26" t="s">
        <v>68</v>
      </c>
      <c r="G36" s="26" t="s">
        <v>239</v>
      </c>
      <c r="H36" s="27" t="s">
        <v>240</v>
      </c>
      <c r="I36" s="26" t="s">
        <v>35</v>
      </c>
      <c r="J36" s="26">
        <v>84</v>
      </c>
      <c r="K36" s="26" t="s">
        <v>241</v>
      </c>
      <c r="L36" s="28" t="s">
        <v>242</v>
      </c>
      <c r="M36" s="91" t="s">
        <v>23</v>
      </c>
      <c r="N36" s="91"/>
      <c r="O36" s="91" t="str">
        <f t="shared" si="4"/>
        <v>W</v>
      </c>
      <c r="P36" s="26" t="str">
        <f t="shared" si="8"/>
        <v>NX</v>
      </c>
      <c r="Q36" s="26" t="str">
        <f t="shared" si="9"/>
        <v>WR</v>
      </c>
      <c r="R36" s="26" t="str">
        <f t="shared" si="10"/>
        <v>Lv 3</v>
      </c>
      <c r="S36" s="26" t="str">
        <f t="shared" si="5"/>
        <v>Lv 2</v>
      </c>
      <c r="T36" s="84" t="str">
        <f t="shared" si="6"/>
        <v/>
      </c>
      <c r="U36" s="84" t="str">
        <f t="shared" si="11"/>
        <v/>
      </c>
      <c r="V36" s="85" t="str">
        <f t="shared" si="7"/>
        <v/>
      </c>
    </row>
    <row r="37" spans="1:22" s="23" customFormat="1" ht="72.75" customHeight="1">
      <c r="A37" s="59" t="s">
        <v>135</v>
      </c>
      <c r="B37" s="38" t="s">
        <v>421</v>
      </c>
      <c r="C37" s="26" t="s">
        <v>65</v>
      </c>
      <c r="D37" s="26" t="s">
        <v>224</v>
      </c>
      <c r="E37" s="26" t="s">
        <v>243</v>
      </c>
      <c r="F37" s="26" t="s">
        <v>173</v>
      </c>
      <c r="G37" s="26" t="s">
        <v>174</v>
      </c>
      <c r="H37" s="26" t="s">
        <v>175</v>
      </c>
      <c r="I37" s="26" t="s">
        <v>176</v>
      </c>
      <c r="J37" s="26">
        <v>59</v>
      </c>
      <c r="K37" s="27" t="s">
        <v>244</v>
      </c>
      <c r="L37" s="31" t="s">
        <v>204</v>
      </c>
      <c r="M37" s="91" t="s">
        <v>36</v>
      </c>
      <c r="N37" s="91"/>
      <c r="O37" s="91" t="str">
        <f t="shared" si="4"/>
        <v>W</v>
      </c>
      <c r="P37" s="26" t="str">
        <f t="shared" si="8"/>
        <v>N</v>
      </c>
      <c r="Q37" s="26" t="str">
        <f t="shared" si="9"/>
        <v>WR</v>
      </c>
      <c r="R37" s="26" t="str">
        <f t="shared" si="10"/>
        <v>Lv 1</v>
      </c>
      <c r="S37" s="26" t="str">
        <f t="shared" si="5"/>
        <v>Lv 1</v>
      </c>
      <c r="T37" s="84" t="str">
        <f t="shared" si="6"/>
        <v>W-N-WR-Lv 1-Lv 1</v>
      </c>
      <c r="U37" s="84" t="str">
        <f t="shared" si="11"/>
        <v>VS-#3-OE</v>
      </c>
      <c r="V37" s="85" t="str">
        <f t="shared" si="7"/>
        <v>⚠️ [박지 주의] 초경량 원단: 지퍼 무게에 의한 처짐 및 미어짐 주의</v>
      </c>
    </row>
    <row r="38" spans="1:22" s="23" customFormat="1" ht="72.75" customHeight="1">
      <c r="A38" s="59" t="s">
        <v>135</v>
      </c>
      <c r="B38" s="38" t="s">
        <v>421</v>
      </c>
      <c r="C38" s="26" t="s">
        <v>65</v>
      </c>
      <c r="D38" s="26" t="s">
        <v>224</v>
      </c>
      <c r="E38" s="70" t="s">
        <v>245</v>
      </c>
      <c r="F38" s="26" t="s">
        <v>173</v>
      </c>
      <c r="G38" s="26" t="s">
        <v>174</v>
      </c>
      <c r="H38" s="26" t="s">
        <v>175</v>
      </c>
      <c r="I38" s="26" t="s">
        <v>176</v>
      </c>
      <c r="J38" s="26">
        <v>59</v>
      </c>
      <c r="K38" s="27" t="s">
        <v>195</v>
      </c>
      <c r="L38" s="28" t="s">
        <v>204</v>
      </c>
      <c r="M38" s="91" t="s">
        <v>23</v>
      </c>
      <c r="N38" s="91"/>
      <c r="O38" s="91" t="str">
        <f t="shared" si="4"/>
        <v>W</v>
      </c>
      <c r="P38" s="26" t="str">
        <f t="shared" si="8"/>
        <v>N</v>
      </c>
      <c r="Q38" s="26" t="str">
        <f t="shared" si="9"/>
        <v>WR</v>
      </c>
      <c r="R38" s="26" t="str">
        <f t="shared" si="10"/>
        <v>Lv 1</v>
      </c>
      <c r="S38" s="26" t="str">
        <f t="shared" si="5"/>
        <v>Lv 1</v>
      </c>
      <c r="T38" s="84" t="str">
        <f t="shared" si="6"/>
        <v/>
      </c>
      <c r="U38" s="84" t="str">
        <f t="shared" si="11"/>
        <v/>
      </c>
      <c r="V38" s="85" t="str">
        <f t="shared" si="7"/>
        <v/>
      </c>
    </row>
    <row r="39" spans="1:22" s="23" customFormat="1" ht="72.75" customHeight="1">
      <c r="A39" s="59" t="s">
        <v>135</v>
      </c>
      <c r="B39" s="38" t="s">
        <v>421</v>
      </c>
      <c r="C39" s="26" t="s">
        <v>65</v>
      </c>
      <c r="D39" s="26" t="s">
        <v>219</v>
      </c>
      <c r="E39" s="71" t="s">
        <v>246</v>
      </c>
      <c r="F39" s="26" t="s">
        <v>173</v>
      </c>
      <c r="G39" s="26" t="s">
        <v>247</v>
      </c>
      <c r="H39" s="27" t="s">
        <v>156</v>
      </c>
      <c r="I39" s="26" t="s">
        <v>187</v>
      </c>
      <c r="J39" s="26">
        <v>88</v>
      </c>
      <c r="K39" s="26" t="s">
        <v>248</v>
      </c>
      <c r="L39" s="28" t="s">
        <v>249</v>
      </c>
      <c r="M39" s="91" t="s">
        <v>36</v>
      </c>
      <c r="N39" s="91"/>
      <c r="O39" s="91" t="str">
        <f t="shared" si="4"/>
        <v>W</v>
      </c>
      <c r="P39" s="26" t="str">
        <f t="shared" si="8"/>
        <v>P</v>
      </c>
      <c r="Q39" s="26" t="str">
        <f t="shared" si="9"/>
        <v>WR</v>
      </c>
      <c r="R39" s="26" t="str">
        <f t="shared" si="10"/>
        <v>Lv 1</v>
      </c>
      <c r="S39" s="26" t="str">
        <f t="shared" si="5"/>
        <v>Lv 2</v>
      </c>
      <c r="T39" s="84" t="str">
        <f t="shared" si="6"/>
        <v>W-P-WR-Lv 1-Lv 2</v>
      </c>
      <c r="U39" s="84" t="str">
        <f t="shared" si="11"/>
        <v>NY-#5-2WAY</v>
      </c>
      <c r="V39" s="85" t="str">
        <f t="shared" si="7"/>
        <v>⚠️ [파동 주의] 신축 원단+지퍼: 꿀렁임(웨이브) 및 이새 몰림 위험</v>
      </c>
    </row>
    <row r="40" spans="1:22" s="23" customFormat="1" ht="72.75" customHeight="1">
      <c r="A40" s="60" t="s">
        <v>108</v>
      </c>
      <c r="B40" s="38" t="s">
        <v>421</v>
      </c>
      <c r="C40" s="33" t="s">
        <v>250</v>
      </c>
      <c r="D40" s="33" t="s">
        <v>251</v>
      </c>
      <c r="E40" s="26" t="s">
        <v>252</v>
      </c>
      <c r="F40" s="33" t="s">
        <v>253</v>
      </c>
      <c r="G40" s="33" t="s">
        <v>254</v>
      </c>
      <c r="H40" s="26" t="s">
        <v>156</v>
      </c>
      <c r="I40" s="26" t="s">
        <v>35</v>
      </c>
      <c r="J40" s="26">
        <v>132</v>
      </c>
      <c r="K40" s="27" t="s">
        <v>255</v>
      </c>
      <c r="L40" s="28" t="s">
        <v>47</v>
      </c>
      <c r="M40" s="91" t="s">
        <v>23</v>
      </c>
      <c r="N40" s="91"/>
      <c r="O40" s="91" t="str">
        <f t="shared" si="4"/>
        <v>W</v>
      </c>
      <c r="P40" s="26" t="str">
        <f t="shared" si="8"/>
        <v>P</v>
      </c>
      <c r="Q40" s="26" t="str">
        <f t="shared" si="9"/>
        <v>WR</v>
      </c>
      <c r="R40" s="26" t="str">
        <f t="shared" si="10"/>
        <v>Lv 1</v>
      </c>
      <c r="S40" s="26" t="str">
        <f t="shared" si="5"/>
        <v>Lv 2</v>
      </c>
      <c r="T40" s="84" t="str">
        <f t="shared" si="6"/>
        <v/>
      </c>
      <c r="U40" s="84" t="str">
        <f t="shared" si="11"/>
        <v/>
      </c>
      <c r="V40" s="85" t="str">
        <f t="shared" si="7"/>
        <v/>
      </c>
    </row>
    <row r="41" spans="1:22" s="23" customFormat="1" ht="72.75" customHeight="1">
      <c r="A41" s="60" t="s">
        <v>108</v>
      </c>
      <c r="B41" s="38" t="s">
        <v>421</v>
      </c>
      <c r="C41" s="33" t="s">
        <v>86</v>
      </c>
      <c r="D41" s="33" t="s">
        <v>256</v>
      </c>
      <c r="E41" s="26" t="s">
        <v>257</v>
      </c>
      <c r="F41" s="33" t="s">
        <v>258</v>
      </c>
      <c r="G41" s="33" t="s">
        <v>259</v>
      </c>
      <c r="H41" s="26" t="s">
        <v>156</v>
      </c>
      <c r="I41" s="26" t="s">
        <v>114</v>
      </c>
      <c r="J41" s="26">
        <v>230</v>
      </c>
      <c r="K41" s="26" t="s">
        <v>233</v>
      </c>
      <c r="L41" s="28" t="s">
        <v>47</v>
      </c>
      <c r="M41" s="91" t="s">
        <v>23</v>
      </c>
      <c r="N41" s="91"/>
      <c r="O41" s="91" t="str">
        <f t="shared" si="4"/>
        <v>W</v>
      </c>
      <c r="P41" s="26" t="str">
        <f t="shared" si="8"/>
        <v>P</v>
      </c>
      <c r="Q41" s="26" t="str">
        <f t="shared" si="9"/>
        <v>ST</v>
      </c>
      <c r="R41" s="26" t="str">
        <f t="shared" si="10"/>
        <v>Lv 1</v>
      </c>
      <c r="S41" s="26" t="str">
        <f t="shared" si="5"/>
        <v>Lv 3</v>
      </c>
      <c r="T41" s="84" t="str">
        <f t="shared" si="6"/>
        <v/>
      </c>
      <c r="U41" s="84" t="str">
        <f t="shared" si="11"/>
        <v/>
      </c>
      <c r="V41" s="85" t="str">
        <f t="shared" si="7"/>
        <v/>
      </c>
    </row>
    <row r="42" spans="1:22" s="23" customFormat="1" ht="72.75" customHeight="1">
      <c r="A42" s="60" t="s">
        <v>108</v>
      </c>
      <c r="B42" s="38" t="s">
        <v>421</v>
      </c>
      <c r="C42" s="33" t="s">
        <v>86</v>
      </c>
      <c r="D42" s="33" t="s">
        <v>260</v>
      </c>
      <c r="E42" s="33" t="s">
        <v>261</v>
      </c>
      <c r="F42" s="26" t="s">
        <v>89</v>
      </c>
      <c r="G42" s="33" t="s">
        <v>262</v>
      </c>
      <c r="H42" s="26" t="s">
        <v>156</v>
      </c>
      <c r="I42" s="26" t="s">
        <v>263</v>
      </c>
      <c r="J42" s="26">
        <v>214</v>
      </c>
      <c r="K42" s="26" t="s">
        <v>72</v>
      </c>
      <c r="L42" s="31" t="s">
        <v>264</v>
      </c>
      <c r="M42" s="91" t="s">
        <v>23</v>
      </c>
      <c r="N42" s="91"/>
      <c r="O42" s="91" t="str">
        <f t="shared" si="4"/>
        <v>W</v>
      </c>
      <c r="P42" s="26" t="str">
        <f t="shared" si="8"/>
        <v>P</v>
      </c>
      <c r="Q42" s="26" t="str">
        <f t="shared" si="9"/>
        <v>WR</v>
      </c>
      <c r="R42" s="26" t="str">
        <f t="shared" si="10"/>
        <v>Lv 1</v>
      </c>
      <c r="S42" s="26" t="str">
        <f t="shared" si="5"/>
        <v>Lv 3</v>
      </c>
      <c r="T42" s="84" t="str">
        <f t="shared" si="6"/>
        <v/>
      </c>
      <c r="U42" s="84" t="str">
        <f t="shared" si="11"/>
        <v/>
      </c>
      <c r="V42" s="85" t="str">
        <f t="shared" si="7"/>
        <v/>
      </c>
    </row>
    <row r="43" spans="1:22" s="23" customFormat="1" ht="72.75" customHeight="1">
      <c r="A43" s="60" t="s">
        <v>108</v>
      </c>
      <c r="B43" s="38" t="s">
        <v>421</v>
      </c>
      <c r="C43" s="33" t="s">
        <v>86</v>
      </c>
      <c r="D43" s="33" t="s">
        <v>87</v>
      </c>
      <c r="E43" s="33" t="s">
        <v>265</v>
      </c>
      <c r="F43" s="26" t="s">
        <v>266</v>
      </c>
      <c r="G43" s="33" t="s">
        <v>267</v>
      </c>
      <c r="H43" s="26" t="s">
        <v>70</v>
      </c>
      <c r="I43" s="26" t="s">
        <v>268</v>
      </c>
      <c r="J43" s="26">
        <v>105</v>
      </c>
      <c r="K43" s="26" t="s">
        <v>56</v>
      </c>
      <c r="L43" s="6" t="s">
        <v>269</v>
      </c>
      <c r="M43" s="91" t="s">
        <v>23</v>
      </c>
      <c r="N43" s="91"/>
      <c r="O43" s="91" t="str">
        <f t="shared" si="4"/>
        <v>W</v>
      </c>
      <c r="P43" s="26" t="str">
        <f t="shared" si="8"/>
        <v>N</v>
      </c>
      <c r="Q43" s="26" t="str">
        <f t="shared" si="9"/>
        <v>WR</v>
      </c>
      <c r="R43" s="26" t="str">
        <f t="shared" si="10"/>
        <v>Lv 1</v>
      </c>
      <c r="S43" s="26" t="str">
        <f t="shared" si="5"/>
        <v>Lv 2</v>
      </c>
      <c r="T43" s="84" t="str">
        <f t="shared" si="6"/>
        <v/>
      </c>
      <c r="U43" s="84" t="str">
        <f t="shared" si="11"/>
        <v/>
      </c>
      <c r="V43" s="85" t="str">
        <f t="shared" si="7"/>
        <v/>
      </c>
    </row>
    <row r="44" spans="1:22" s="23" customFormat="1" ht="72.75" customHeight="1">
      <c r="A44" s="60" t="s">
        <v>108</v>
      </c>
      <c r="B44" s="38" t="s">
        <v>421</v>
      </c>
      <c r="C44" s="33" t="s">
        <v>86</v>
      </c>
      <c r="D44" s="33" t="s">
        <v>270</v>
      </c>
      <c r="E44" s="33" t="s">
        <v>271</v>
      </c>
      <c r="F44" s="26" t="s">
        <v>89</v>
      </c>
      <c r="G44" s="33" t="s">
        <v>272</v>
      </c>
      <c r="H44" s="26" t="s">
        <v>273</v>
      </c>
      <c r="I44" s="26" t="s">
        <v>274</v>
      </c>
      <c r="J44" s="26">
        <v>430</v>
      </c>
      <c r="K44" s="26" t="s">
        <v>275</v>
      </c>
      <c r="L44" s="6" t="s">
        <v>276</v>
      </c>
      <c r="M44" s="91" t="s">
        <v>23</v>
      </c>
      <c r="N44" s="91"/>
      <c r="O44" s="91" t="str">
        <f t="shared" si="4"/>
        <v>W</v>
      </c>
      <c r="P44" s="26" t="str">
        <f t="shared" si="8"/>
        <v>S</v>
      </c>
      <c r="Q44" s="26" t="str">
        <f t="shared" si="9"/>
        <v>FN</v>
      </c>
      <c r="R44" s="26" t="str">
        <f t="shared" si="10"/>
        <v>Lv 4</v>
      </c>
      <c r="S44" s="26" t="str">
        <f t="shared" si="5"/>
        <v>Lv 5</v>
      </c>
      <c r="T44" s="84" t="str">
        <f t="shared" si="6"/>
        <v/>
      </c>
      <c r="U44" s="84" t="str">
        <f t="shared" si="11"/>
        <v/>
      </c>
      <c r="V44" s="85" t="str">
        <f t="shared" si="7"/>
        <v/>
      </c>
    </row>
    <row r="45" spans="1:22" s="23" customFormat="1" ht="72.75" customHeight="1">
      <c r="A45" s="60" t="s">
        <v>108</v>
      </c>
      <c r="B45" s="38" t="s">
        <v>421</v>
      </c>
      <c r="C45" s="33" t="s">
        <v>79</v>
      </c>
      <c r="D45" s="33" t="s">
        <v>277</v>
      </c>
      <c r="E45" s="33" t="s">
        <v>278</v>
      </c>
      <c r="F45" s="27" t="s">
        <v>161</v>
      </c>
      <c r="G45" s="26" t="s">
        <v>279</v>
      </c>
      <c r="H45" s="27" t="s">
        <v>156</v>
      </c>
      <c r="I45" s="26" t="s">
        <v>280</v>
      </c>
      <c r="J45" s="26">
        <v>180</v>
      </c>
      <c r="K45" s="27" t="s">
        <v>281</v>
      </c>
      <c r="L45" s="28" t="s">
        <v>47</v>
      </c>
      <c r="M45" s="91" t="s">
        <v>23</v>
      </c>
      <c r="N45" s="91"/>
      <c r="O45" s="91" t="str">
        <f t="shared" si="4"/>
        <v>W</v>
      </c>
      <c r="P45" s="26" t="str">
        <f t="shared" si="8"/>
        <v>P</v>
      </c>
      <c r="Q45" s="26" t="str">
        <f t="shared" si="9"/>
        <v>WP</v>
      </c>
      <c r="R45" s="26" t="str">
        <f t="shared" si="10"/>
        <v>Lv 1</v>
      </c>
      <c r="S45" s="26" t="str">
        <f t="shared" si="5"/>
        <v>Lv 3</v>
      </c>
      <c r="T45" s="84" t="str">
        <f t="shared" si="6"/>
        <v/>
      </c>
      <c r="U45" s="84" t="str">
        <f t="shared" si="11"/>
        <v/>
      </c>
      <c r="V45" s="85" t="str">
        <f t="shared" si="7"/>
        <v/>
      </c>
    </row>
    <row r="46" spans="1:22" s="23" customFormat="1" ht="72.75" customHeight="1">
      <c r="A46" s="60" t="s">
        <v>108</v>
      </c>
      <c r="B46" s="38" t="s">
        <v>421</v>
      </c>
      <c r="C46" s="33" t="s">
        <v>79</v>
      </c>
      <c r="D46" s="33" t="s">
        <v>282</v>
      </c>
      <c r="E46" s="33" t="s">
        <v>283</v>
      </c>
      <c r="F46" s="27" t="s">
        <v>161</v>
      </c>
      <c r="G46" s="26" t="s">
        <v>284</v>
      </c>
      <c r="H46" s="27" t="s">
        <v>70</v>
      </c>
      <c r="I46" s="26" t="s">
        <v>280</v>
      </c>
      <c r="J46" s="26">
        <v>92</v>
      </c>
      <c r="K46" s="26" t="s">
        <v>214</v>
      </c>
      <c r="L46" s="28" t="s">
        <v>285</v>
      </c>
      <c r="M46" s="91" t="s">
        <v>36</v>
      </c>
      <c r="N46" s="91"/>
      <c r="O46" s="91" t="str">
        <f t="shared" si="4"/>
        <v>W</v>
      </c>
      <c r="P46" s="26" t="str">
        <f t="shared" si="8"/>
        <v>N</v>
      </c>
      <c r="Q46" s="26" t="str">
        <f t="shared" si="9"/>
        <v>WP</v>
      </c>
      <c r="R46" s="26" t="str">
        <f t="shared" si="10"/>
        <v>Lv 1</v>
      </c>
      <c r="S46" s="26" t="str">
        <f t="shared" si="5"/>
        <v>Lv 2</v>
      </c>
      <c r="T46" s="84" t="str">
        <f t="shared" si="6"/>
        <v>W-N-WP-Lv 1-Lv 2</v>
      </c>
      <c r="U46" s="84" t="str">
        <f t="shared" si="11"/>
        <v>NYWR-#5-OE</v>
      </c>
      <c r="V46" s="85" t="str">
        <f t="shared" si="7"/>
        <v>⚠️ [파동 주의] 신축 원단+지퍼: 꿀렁임(웨이브) 및 이새 몰림 위험</v>
      </c>
    </row>
    <row r="47" spans="1:22" s="23" customFormat="1" ht="72.75" customHeight="1">
      <c r="A47" s="60" t="s">
        <v>108</v>
      </c>
      <c r="B47" s="38" t="s">
        <v>421</v>
      </c>
      <c r="C47" s="33" t="s">
        <v>286</v>
      </c>
      <c r="D47" s="33" t="s">
        <v>287</v>
      </c>
      <c r="E47" s="33" t="s">
        <v>288</v>
      </c>
      <c r="F47" s="26" t="s">
        <v>173</v>
      </c>
      <c r="G47" s="26" t="s">
        <v>247</v>
      </c>
      <c r="H47" s="27" t="s">
        <v>156</v>
      </c>
      <c r="I47" s="26" t="s">
        <v>187</v>
      </c>
      <c r="J47" s="26">
        <v>88</v>
      </c>
      <c r="K47" s="26" t="s">
        <v>289</v>
      </c>
      <c r="L47" s="31" t="s">
        <v>290</v>
      </c>
      <c r="M47" s="91">
        <v>0</v>
      </c>
      <c r="N47" s="91"/>
      <c r="O47" s="91" t="str">
        <f t="shared" si="4"/>
        <v>W</v>
      </c>
      <c r="P47" s="26" t="str">
        <f t="shared" si="8"/>
        <v>P</v>
      </c>
      <c r="Q47" s="26" t="str">
        <f t="shared" si="9"/>
        <v>WR</v>
      </c>
      <c r="R47" s="26" t="str">
        <f t="shared" si="10"/>
        <v>Lv 1</v>
      </c>
      <c r="S47" s="26" t="str">
        <f t="shared" si="5"/>
        <v>Lv 2</v>
      </c>
      <c r="T47" s="84" t="str">
        <f t="shared" si="6"/>
        <v/>
      </c>
      <c r="U47" s="84" t="str">
        <f t="shared" si="11"/>
        <v/>
      </c>
      <c r="V47" s="85" t="str">
        <f t="shared" si="7"/>
        <v/>
      </c>
    </row>
    <row r="48" spans="1:22" s="23" customFormat="1" ht="72.75" customHeight="1">
      <c r="A48" s="60" t="s">
        <v>108</v>
      </c>
      <c r="B48" s="38" t="s">
        <v>421</v>
      </c>
      <c r="C48" s="33" t="s">
        <v>286</v>
      </c>
      <c r="D48" s="33" t="s">
        <v>287</v>
      </c>
      <c r="E48" s="33" t="s">
        <v>291</v>
      </c>
      <c r="F48" s="26" t="s">
        <v>60</v>
      </c>
      <c r="G48" s="26" t="s">
        <v>292</v>
      </c>
      <c r="H48" s="26" t="s">
        <v>70</v>
      </c>
      <c r="I48" s="26" t="s">
        <v>46</v>
      </c>
      <c r="J48" s="26">
        <v>140</v>
      </c>
      <c r="K48" s="26" t="s">
        <v>293</v>
      </c>
      <c r="L48" s="31" t="s">
        <v>294</v>
      </c>
      <c r="M48" s="91" t="s">
        <v>23</v>
      </c>
      <c r="N48" s="91"/>
      <c r="O48" s="91" t="str">
        <f t="shared" si="4"/>
        <v>W</v>
      </c>
      <c r="P48" s="26" t="str">
        <f t="shared" si="8"/>
        <v>N</v>
      </c>
      <c r="Q48" s="26" t="str">
        <f t="shared" si="9"/>
        <v>ST</v>
      </c>
      <c r="R48" s="26" t="str">
        <f t="shared" si="10"/>
        <v>Lv 1</v>
      </c>
      <c r="S48" s="26" t="str">
        <f t="shared" si="5"/>
        <v>Lv 2</v>
      </c>
      <c r="T48" s="84" t="str">
        <f t="shared" si="6"/>
        <v/>
      </c>
      <c r="U48" s="84" t="str">
        <f t="shared" si="11"/>
        <v/>
      </c>
      <c r="V48" s="85" t="str">
        <f t="shared" si="7"/>
        <v/>
      </c>
    </row>
    <row r="49" spans="1:22" s="23" customFormat="1" ht="72.75" customHeight="1">
      <c r="A49" s="60" t="s">
        <v>108</v>
      </c>
      <c r="B49" s="38" t="s">
        <v>421</v>
      </c>
      <c r="C49" s="33" t="s">
        <v>286</v>
      </c>
      <c r="D49" s="33" t="s">
        <v>287</v>
      </c>
      <c r="E49" s="33" t="s">
        <v>295</v>
      </c>
      <c r="F49" s="26" t="s">
        <v>296</v>
      </c>
      <c r="G49" s="26" t="s">
        <v>297</v>
      </c>
      <c r="H49" s="26" t="s">
        <v>273</v>
      </c>
      <c r="I49" s="26" t="s">
        <v>298</v>
      </c>
      <c r="J49" s="26">
        <v>160</v>
      </c>
      <c r="K49" s="27" t="s">
        <v>241</v>
      </c>
      <c r="L49" s="28" t="s">
        <v>47</v>
      </c>
      <c r="M49" s="91" t="s">
        <v>23</v>
      </c>
      <c r="N49" s="91"/>
      <c r="O49" s="91" t="str">
        <f t="shared" si="4"/>
        <v>W</v>
      </c>
      <c r="P49" s="26" t="str">
        <f t="shared" si="8"/>
        <v>S</v>
      </c>
      <c r="Q49" s="26" t="str">
        <f t="shared" si="9"/>
        <v>WP</v>
      </c>
      <c r="R49" s="26" t="str">
        <f t="shared" si="10"/>
        <v>Lv 4</v>
      </c>
      <c r="S49" s="26" t="str">
        <f t="shared" si="5"/>
        <v>Lv 2</v>
      </c>
      <c r="T49" s="84" t="str">
        <f t="shared" si="6"/>
        <v/>
      </c>
      <c r="U49" s="84" t="str">
        <f t="shared" si="11"/>
        <v/>
      </c>
      <c r="V49" s="85" t="str">
        <f t="shared" si="7"/>
        <v/>
      </c>
    </row>
    <row r="50" spans="1:22" s="23" customFormat="1" ht="72.75" customHeight="1">
      <c r="A50" s="60" t="s">
        <v>108</v>
      </c>
      <c r="B50" s="129" t="s">
        <v>1385</v>
      </c>
      <c r="C50" s="33" t="s">
        <v>94</v>
      </c>
      <c r="D50" s="33" t="s">
        <v>94</v>
      </c>
      <c r="E50" s="33" t="s">
        <v>299</v>
      </c>
      <c r="F50" s="26" t="s">
        <v>96</v>
      </c>
      <c r="G50" s="26" t="s">
        <v>300</v>
      </c>
      <c r="H50" s="26" t="s">
        <v>301</v>
      </c>
      <c r="I50" s="26"/>
      <c r="J50" s="26">
        <v>586</v>
      </c>
      <c r="K50" s="26" t="s">
        <v>106</v>
      </c>
      <c r="L50" s="28" t="s">
        <v>47</v>
      </c>
      <c r="M50" s="91" t="s">
        <v>23</v>
      </c>
      <c r="N50" s="91"/>
      <c r="O50" s="91" t="str">
        <f t="shared" si="4"/>
        <v>S</v>
      </c>
      <c r="P50" s="26" t="str">
        <f t="shared" si="8"/>
        <v>N</v>
      </c>
      <c r="Q50" s="26" t="str">
        <f t="shared" si="9"/>
        <v>ST</v>
      </c>
      <c r="R50" s="26" t="str">
        <f t="shared" si="10"/>
        <v>Lv 1</v>
      </c>
      <c r="S50" s="26" t="str">
        <f t="shared" si="5"/>
        <v>Lv 5</v>
      </c>
      <c r="T50" s="84" t="str">
        <f t="shared" si="6"/>
        <v/>
      </c>
      <c r="U50" s="84" t="str">
        <f t="shared" si="11"/>
        <v/>
      </c>
      <c r="V50" s="85" t="str">
        <f t="shared" si="7"/>
        <v/>
      </c>
    </row>
    <row r="51" spans="1:22" s="23" customFormat="1" ht="72.75" customHeight="1">
      <c r="A51" s="60" t="s">
        <v>302</v>
      </c>
      <c r="B51" s="128" t="s">
        <v>1384</v>
      </c>
      <c r="C51" s="33" t="s">
        <v>116</v>
      </c>
      <c r="D51" s="33" t="s">
        <v>117</v>
      </c>
      <c r="E51" s="33" t="s">
        <v>303</v>
      </c>
      <c r="F51" s="13" t="s">
        <v>304</v>
      </c>
      <c r="G51" s="35" t="s">
        <v>305</v>
      </c>
      <c r="H51" s="50" t="s">
        <v>306</v>
      </c>
      <c r="I51" s="39" t="s">
        <v>307</v>
      </c>
      <c r="J51" s="9">
        <v>305</v>
      </c>
      <c r="K51" s="26" t="s">
        <v>134</v>
      </c>
      <c r="L51" s="31" t="s">
        <v>308</v>
      </c>
      <c r="M51" s="91" t="s">
        <v>23</v>
      </c>
      <c r="N51" s="91"/>
      <c r="O51" s="91" t="str">
        <f t="shared" si="4"/>
        <v>K</v>
      </c>
      <c r="P51" s="26" t="str">
        <f t="shared" si="8"/>
        <v>CX</v>
      </c>
      <c r="Q51" s="26" t="str">
        <f t="shared" si="9"/>
        <v>AF</v>
      </c>
      <c r="R51" s="26" t="str">
        <f t="shared" si="10"/>
        <v>Lv 3</v>
      </c>
      <c r="S51" s="26" t="str">
        <f t="shared" si="5"/>
        <v>Lv 4</v>
      </c>
      <c r="T51" s="84" t="str">
        <f t="shared" si="6"/>
        <v/>
      </c>
      <c r="U51" s="84" t="str">
        <f t="shared" si="11"/>
        <v/>
      </c>
      <c r="V51" s="85" t="str">
        <f t="shared" si="7"/>
        <v/>
      </c>
    </row>
    <row r="52" spans="1:22" s="23" customFormat="1" ht="72.75" customHeight="1">
      <c r="A52" s="60" t="s">
        <v>302</v>
      </c>
      <c r="B52" s="128" t="s">
        <v>1384</v>
      </c>
      <c r="C52" s="33" t="s">
        <v>16</v>
      </c>
      <c r="D52" s="33" t="s">
        <v>136</v>
      </c>
      <c r="E52" s="33" t="s">
        <v>309</v>
      </c>
      <c r="F52" s="12" t="s">
        <v>310</v>
      </c>
      <c r="G52" s="18" t="s">
        <v>311</v>
      </c>
      <c r="H52" s="51" t="s">
        <v>312</v>
      </c>
      <c r="I52" s="40" t="s">
        <v>307</v>
      </c>
      <c r="J52" s="5">
        <v>365</v>
      </c>
      <c r="K52" s="26" t="s">
        <v>115</v>
      </c>
      <c r="L52" s="31" t="s">
        <v>165</v>
      </c>
      <c r="M52" s="91" t="s">
        <v>23</v>
      </c>
      <c r="N52" s="91"/>
      <c r="O52" s="91" t="str">
        <f t="shared" si="4"/>
        <v>K</v>
      </c>
      <c r="P52" s="26" t="str">
        <f t="shared" si="8"/>
        <v>CS</v>
      </c>
      <c r="Q52" s="26" t="str">
        <f t="shared" si="9"/>
        <v>AF</v>
      </c>
      <c r="R52" s="26" t="str">
        <f t="shared" si="10"/>
        <v>Lv 2</v>
      </c>
      <c r="S52" s="26" t="str">
        <f t="shared" si="5"/>
        <v>Lv 5</v>
      </c>
      <c r="T52" s="84" t="str">
        <f t="shared" si="6"/>
        <v/>
      </c>
      <c r="U52" s="84" t="str">
        <f t="shared" si="11"/>
        <v/>
      </c>
      <c r="V52" s="85" t="str">
        <f t="shared" si="7"/>
        <v/>
      </c>
    </row>
    <row r="53" spans="1:22" s="23" customFormat="1" ht="72.75" customHeight="1">
      <c r="A53" s="60" t="s">
        <v>302</v>
      </c>
      <c r="B53" s="128" t="s">
        <v>1384</v>
      </c>
      <c r="C53" s="33" t="s">
        <v>16</v>
      </c>
      <c r="D53" s="33" t="s">
        <v>313</v>
      </c>
      <c r="E53" s="33" t="s">
        <v>314</v>
      </c>
      <c r="F53" s="13" t="s">
        <v>315</v>
      </c>
      <c r="G53" s="35" t="s">
        <v>316</v>
      </c>
      <c r="H53" s="52" t="s">
        <v>317</v>
      </c>
      <c r="I53" s="41" t="s">
        <v>318</v>
      </c>
      <c r="J53" s="42">
        <v>270</v>
      </c>
      <c r="K53" s="26" t="s">
        <v>134</v>
      </c>
      <c r="L53" s="31" t="s">
        <v>26</v>
      </c>
      <c r="M53" s="91" t="s">
        <v>23</v>
      </c>
      <c r="N53" s="91"/>
      <c r="O53" s="91" t="str">
        <f t="shared" si="4"/>
        <v>K</v>
      </c>
      <c r="P53" s="26" t="str">
        <f t="shared" si="8"/>
        <v>CX</v>
      </c>
      <c r="Q53" s="26" t="str">
        <f t="shared" si="9"/>
        <v>AF</v>
      </c>
      <c r="R53" s="26" t="str">
        <f t="shared" si="10"/>
        <v>Lv 1</v>
      </c>
      <c r="S53" s="26" t="str">
        <f t="shared" si="5"/>
        <v>Lv 4</v>
      </c>
      <c r="T53" s="84" t="str">
        <f t="shared" si="6"/>
        <v/>
      </c>
      <c r="U53" s="84" t="str">
        <f t="shared" si="11"/>
        <v/>
      </c>
      <c r="V53" s="85" t="str">
        <f t="shared" si="7"/>
        <v/>
      </c>
    </row>
    <row r="54" spans="1:22" s="23" customFormat="1" ht="72.75" customHeight="1">
      <c r="A54" s="60" t="s">
        <v>302</v>
      </c>
      <c r="B54" s="128" t="s">
        <v>1384</v>
      </c>
      <c r="C54" s="33" t="s">
        <v>144</v>
      </c>
      <c r="D54" s="33" t="s">
        <v>319</v>
      </c>
      <c r="E54" s="33" t="s">
        <v>320</v>
      </c>
      <c r="F54" s="10" t="s">
        <v>315</v>
      </c>
      <c r="G54" s="18" t="s">
        <v>321</v>
      </c>
      <c r="H54" s="12" t="s">
        <v>322</v>
      </c>
      <c r="I54" s="14" t="s">
        <v>318</v>
      </c>
      <c r="J54" s="14">
        <v>310</v>
      </c>
      <c r="K54" s="27" t="s">
        <v>323</v>
      </c>
      <c r="L54" s="31" t="s">
        <v>324</v>
      </c>
      <c r="M54" s="91" t="s">
        <v>23</v>
      </c>
      <c r="N54" s="91"/>
      <c r="O54" s="91" t="str">
        <f t="shared" si="4"/>
        <v>K</v>
      </c>
      <c r="P54" s="26" t="str">
        <f t="shared" si="8"/>
        <v>CX</v>
      </c>
      <c r="Q54" s="26" t="str">
        <f t="shared" si="9"/>
        <v>AF</v>
      </c>
      <c r="R54" s="26" t="str">
        <f t="shared" si="10"/>
        <v>Lv 3</v>
      </c>
      <c r="S54" s="26" t="str">
        <f t="shared" si="5"/>
        <v>Lv 4</v>
      </c>
      <c r="T54" s="84" t="str">
        <f t="shared" si="6"/>
        <v/>
      </c>
      <c r="U54" s="84" t="str">
        <f t="shared" si="11"/>
        <v/>
      </c>
      <c r="V54" s="85" t="str">
        <f t="shared" si="7"/>
        <v/>
      </c>
    </row>
    <row r="55" spans="1:22" s="23" customFormat="1" ht="72.75" customHeight="1">
      <c r="A55" s="60" t="s">
        <v>302</v>
      </c>
      <c r="B55" s="129" t="s">
        <v>421</v>
      </c>
      <c r="C55" s="33" t="s">
        <v>49</v>
      </c>
      <c r="D55" s="26" t="s">
        <v>171</v>
      </c>
      <c r="E55" s="33" t="s">
        <v>325</v>
      </c>
      <c r="F55" s="12" t="s">
        <v>326</v>
      </c>
      <c r="G55" s="18" t="s">
        <v>327</v>
      </c>
      <c r="H55" s="12" t="s">
        <v>328</v>
      </c>
      <c r="I55" s="18" t="s">
        <v>329</v>
      </c>
      <c r="J55" s="18">
        <v>80</v>
      </c>
      <c r="K55" s="27" t="s">
        <v>56</v>
      </c>
      <c r="L55" s="31" t="s">
        <v>330</v>
      </c>
      <c r="M55" s="91" t="s">
        <v>23</v>
      </c>
      <c r="N55" s="91"/>
      <c r="O55" s="91" t="str">
        <f t="shared" si="4"/>
        <v>W</v>
      </c>
      <c r="P55" s="26" t="str">
        <f t="shared" si="8"/>
        <v>N</v>
      </c>
      <c r="Q55" s="26" t="str">
        <f t="shared" si="9"/>
        <v>WR</v>
      </c>
      <c r="R55" s="26" t="str">
        <f t="shared" si="10"/>
        <v>Lv 1</v>
      </c>
      <c r="S55" s="26" t="str">
        <f t="shared" si="5"/>
        <v>Lv 1</v>
      </c>
      <c r="T55" s="84" t="str">
        <f t="shared" si="6"/>
        <v/>
      </c>
      <c r="U55" s="84" t="str">
        <f t="shared" si="11"/>
        <v/>
      </c>
      <c r="V55" s="85" t="str">
        <f t="shared" si="7"/>
        <v/>
      </c>
    </row>
    <row r="56" spans="1:22" s="23" customFormat="1" ht="72.75" customHeight="1">
      <c r="A56" s="60" t="s">
        <v>302</v>
      </c>
      <c r="B56" s="129" t="s">
        <v>421</v>
      </c>
      <c r="C56" s="33" t="s">
        <v>49</v>
      </c>
      <c r="D56" s="33" t="s">
        <v>331</v>
      </c>
      <c r="E56" s="33" t="s">
        <v>332</v>
      </c>
      <c r="F56" s="14" t="s">
        <v>333</v>
      </c>
      <c r="G56" s="18" t="s">
        <v>334</v>
      </c>
      <c r="H56" s="12" t="s">
        <v>335</v>
      </c>
      <c r="I56" s="17" t="s">
        <v>336</v>
      </c>
      <c r="J56" s="18">
        <v>121</v>
      </c>
      <c r="K56" s="26" t="s">
        <v>214</v>
      </c>
      <c r="L56" s="31" t="s">
        <v>337</v>
      </c>
      <c r="M56" s="91" t="s">
        <v>23</v>
      </c>
      <c r="N56" s="91"/>
      <c r="O56" s="91" t="str">
        <f t="shared" si="4"/>
        <v>W</v>
      </c>
      <c r="P56" s="26" t="str">
        <f t="shared" si="8"/>
        <v>P</v>
      </c>
      <c r="Q56" s="26" t="str">
        <f t="shared" si="9"/>
        <v>WP</v>
      </c>
      <c r="R56" s="26" t="str">
        <f t="shared" si="10"/>
        <v>Lv 1</v>
      </c>
      <c r="S56" s="26" t="str">
        <f t="shared" si="5"/>
        <v>Lv 2</v>
      </c>
      <c r="T56" s="84" t="str">
        <f t="shared" si="6"/>
        <v/>
      </c>
      <c r="U56" s="84" t="str">
        <f t="shared" si="11"/>
        <v/>
      </c>
      <c r="V56" s="85" t="str">
        <f t="shared" si="7"/>
        <v/>
      </c>
    </row>
    <row r="57" spans="1:22" s="23" customFormat="1" ht="72.75" customHeight="1">
      <c r="A57" s="60" t="s">
        <v>302</v>
      </c>
      <c r="B57" s="129" t="s">
        <v>421</v>
      </c>
      <c r="C57" s="33" t="s">
        <v>49</v>
      </c>
      <c r="D57" s="33" t="s">
        <v>171</v>
      </c>
      <c r="E57" s="33" t="s">
        <v>338</v>
      </c>
      <c r="F57" s="12" t="s">
        <v>339</v>
      </c>
      <c r="G57" s="18" t="s">
        <v>340</v>
      </c>
      <c r="H57" s="12" t="s">
        <v>328</v>
      </c>
      <c r="I57" s="43" t="s">
        <v>341</v>
      </c>
      <c r="J57" s="44">
        <v>74</v>
      </c>
      <c r="K57" s="26" t="s">
        <v>56</v>
      </c>
      <c r="L57" s="31" t="s">
        <v>342</v>
      </c>
      <c r="M57" s="91" t="s">
        <v>23</v>
      </c>
      <c r="N57" s="91"/>
      <c r="O57" s="91" t="str">
        <f t="shared" si="4"/>
        <v>W</v>
      </c>
      <c r="P57" s="26" t="str">
        <f t="shared" si="8"/>
        <v>N</v>
      </c>
      <c r="Q57" s="26" t="str">
        <f t="shared" si="9"/>
        <v>WR</v>
      </c>
      <c r="R57" s="26" t="str">
        <f t="shared" si="10"/>
        <v>Lv 1</v>
      </c>
      <c r="S57" s="26" t="str">
        <f t="shared" si="5"/>
        <v>Lv 1</v>
      </c>
      <c r="T57" s="84" t="str">
        <f t="shared" si="6"/>
        <v/>
      </c>
      <c r="U57" s="84" t="str">
        <f t="shared" si="11"/>
        <v/>
      </c>
      <c r="V57" s="85" t="str">
        <f t="shared" si="7"/>
        <v/>
      </c>
    </row>
    <row r="58" spans="1:22" s="23" customFormat="1" ht="72.75" customHeight="1">
      <c r="A58" s="60" t="s">
        <v>302</v>
      </c>
      <c r="B58" s="129" t="s">
        <v>421</v>
      </c>
      <c r="C58" s="33" t="s">
        <v>49</v>
      </c>
      <c r="D58" s="33" t="s">
        <v>331</v>
      </c>
      <c r="E58" s="33" t="s">
        <v>343</v>
      </c>
      <c r="F58" s="14" t="s">
        <v>344</v>
      </c>
      <c r="G58" s="22" t="s">
        <v>345</v>
      </c>
      <c r="H58" s="36" t="s">
        <v>335</v>
      </c>
      <c r="I58" s="15" t="s">
        <v>346</v>
      </c>
      <c r="J58" s="16">
        <v>180</v>
      </c>
      <c r="K58" s="26" t="s">
        <v>347</v>
      </c>
      <c r="L58" s="31" t="s">
        <v>348</v>
      </c>
      <c r="M58" s="91" t="s">
        <v>23</v>
      </c>
      <c r="N58" s="91"/>
      <c r="O58" s="91" t="str">
        <f t="shared" si="4"/>
        <v>W</v>
      </c>
      <c r="P58" s="26" t="str">
        <f t="shared" si="8"/>
        <v>P</v>
      </c>
      <c r="Q58" s="26" t="str">
        <f t="shared" si="9"/>
        <v>WP</v>
      </c>
      <c r="R58" s="26" t="str">
        <f t="shared" si="10"/>
        <v>Lv 1</v>
      </c>
      <c r="S58" s="26" t="str">
        <f t="shared" si="5"/>
        <v>Lv 3</v>
      </c>
      <c r="T58" s="84" t="str">
        <f t="shared" si="6"/>
        <v/>
      </c>
      <c r="U58" s="84" t="str">
        <f t="shared" si="11"/>
        <v/>
      </c>
      <c r="V58" s="85" t="str">
        <f t="shared" si="7"/>
        <v/>
      </c>
    </row>
    <row r="59" spans="1:22" s="23" customFormat="1" ht="72.75" customHeight="1">
      <c r="A59" s="60" t="s">
        <v>302</v>
      </c>
      <c r="B59" s="129" t="s">
        <v>421</v>
      </c>
      <c r="C59" s="33" t="s">
        <v>250</v>
      </c>
      <c r="D59" s="33" t="s">
        <v>251</v>
      </c>
      <c r="E59" s="33" t="s">
        <v>349</v>
      </c>
      <c r="F59" s="12" t="s">
        <v>350</v>
      </c>
      <c r="G59" s="18" t="s">
        <v>351</v>
      </c>
      <c r="H59" s="12" t="s">
        <v>352</v>
      </c>
      <c r="I59" s="18" t="s">
        <v>353</v>
      </c>
      <c r="J59" s="18">
        <v>115</v>
      </c>
      <c r="K59" s="26" t="s">
        <v>354</v>
      </c>
      <c r="L59" s="31" t="s">
        <v>355</v>
      </c>
      <c r="M59" s="91" t="s">
        <v>23</v>
      </c>
      <c r="N59" s="91"/>
      <c r="O59" s="91" t="str">
        <f t="shared" si="4"/>
        <v>W</v>
      </c>
      <c r="P59" s="26" t="str">
        <f t="shared" si="8"/>
        <v>NX</v>
      </c>
      <c r="Q59" s="26" t="str">
        <f t="shared" si="9"/>
        <v>WR</v>
      </c>
      <c r="R59" s="26" t="str">
        <f t="shared" si="10"/>
        <v>Lv 3</v>
      </c>
      <c r="S59" s="26" t="str">
        <f t="shared" si="5"/>
        <v>Lv 2</v>
      </c>
      <c r="T59" s="84" t="str">
        <f t="shared" si="6"/>
        <v/>
      </c>
      <c r="U59" s="84" t="str">
        <f t="shared" si="11"/>
        <v/>
      </c>
      <c r="V59" s="85" t="str">
        <f t="shared" si="7"/>
        <v/>
      </c>
    </row>
    <row r="60" spans="1:22" s="23" customFormat="1" ht="72.75" customHeight="1">
      <c r="A60" s="60" t="s">
        <v>302</v>
      </c>
      <c r="B60" s="129" t="s">
        <v>421</v>
      </c>
      <c r="C60" s="33" t="s">
        <v>86</v>
      </c>
      <c r="D60" s="33" t="s">
        <v>270</v>
      </c>
      <c r="E60" s="33" t="s">
        <v>356</v>
      </c>
      <c r="F60" s="19" t="s">
        <v>357</v>
      </c>
      <c r="G60" s="18" t="s">
        <v>358</v>
      </c>
      <c r="H60" s="12" t="s">
        <v>359</v>
      </c>
      <c r="I60" s="19" t="s">
        <v>360</v>
      </c>
      <c r="J60" s="11">
        <v>300</v>
      </c>
      <c r="K60" s="26" t="s">
        <v>361</v>
      </c>
      <c r="L60" s="31" t="s">
        <v>362</v>
      </c>
      <c r="M60" s="91" t="s">
        <v>23</v>
      </c>
      <c r="N60" s="91"/>
      <c r="O60" s="91" t="str">
        <f t="shared" si="4"/>
        <v>W</v>
      </c>
      <c r="P60" s="26" t="str">
        <f t="shared" si="8"/>
        <v>S</v>
      </c>
      <c r="Q60" s="26" t="str">
        <f t="shared" si="9"/>
        <v>FN</v>
      </c>
      <c r="R60" s="26" t="str">
        <f t="shared" si="10"/>
        <v>Lv 4</v>
      </c>
      <c r="S60" s="26" t="str">
        <f t="shared" si="5"/>
        <v>Lv 4</v>
      </c>
      <c r="T60" s="84" t="str">
        <f t="shared" si="6"/>
        <v/>
      </c>
      <c r="U60" s="84" t="str">
        <f t="shared" si="11"/>
        <v/>
      </c>
      <c r="V60" s="85" t="str">
        <f t="shared" si="7"/>
        <v/>
      </c>
    </row>
    <row r="61" spans="1:22" s="23" customFormat="1" ht="72.75" customHeight="1">
      <c r="A61" s="60" t="s">
        <v>302</v>
      </c>
      <c r="B61" s="129" t="s">
        <v>421</v>
      </c>
      <c r="C61" s="33" t="s">
        <v>65</v>
      </c>
      <c r="D61" s="33" t="s">
        <v>363</v>
      </c>
      <c r="E61" s="33" t="s">
        <v>364</v>
      </c>
      <c r="F61" s="12" t="s">
        <v>344</v>
      </c>
      <c r="G61" s="18" t="s">
        <v>365</v>
      </c>
      <c r="H61" s="12" t="s">
        <v>328</v>
      </c>
      <c r="I61" s="14" t="s">
        <v>353</v>
      </c>
      <c r="J61" s="14">
        <v>115</v>
      </c>
      <c r="K61" s="26" t="s">
        <v>366</v>
      </c>
      <c r="L61" s="28" t="s">
        <v>367</v>
      </c>
      <c r="M61" s="91" t="s">
        <v>23</v>
      </c>
      <c r="N61" s="91"/>
      <c r="O61" s="91" t="str">
        <f t="shared" si="4"/>
        <v>W</v>
      </c>
      <c r="P61" s="26" t="str">
        <f t="shared" si="8"/>
        <v>N</v>
      </c>
      <c r="Q61" s="26" t="str">
        <f t="shared" si="9"/>
        <v>WR</v>
      </c>
      <c r="R61" s="26" t="str">
        <f t="shared" si="10"/>
        <v>Lv 1</v>
      </c>
      <c r="S61" s="26" t="str">
        <f t="shared" si="5"/>
        <v>Lv 2</v>
      </c>
      <c r="T61" s="84" t="str">
        <f t="shared" si="6"/>
        <v/>
      </c>
      <c r="U61" s="84" t="str">
        <f t="shared" si="11"/>
        <v/>
      </c>
      <c r="V61" s="85" t="str">
        <f t="shared" si="7"/>
        <v/>
      </c>
    </row>
    <row r="62" spans="1:22" s="23" customFormat="1" ht="72.75" customHeight="1">
      <c r="A62" s="60" t="s">
        <v>302</v>
      </c>
      <c r="B62" s="129" t="s">
        <v>421</v>
      </c>
      <c r="C62" s="33" t="s">
        <v>65</v>
      </c>
      <c r="D62" s="33" t="s">
        <v>66</v>
      </c>
      <c r="E62" s="33" t="s">
        <v>368</v>
      </c>
      <c r="F62" s="12" t="s">
        <v>369</v>
      </c>
      <c r="G62" s="18" t="s">
        <v>370</v>
      </c>
      <c r="H62" s="12" t="s">
        <v>328</v>
      </c>
      <c r="I62" s="18" t="s">
        <v>99</v>
      </c>
      <c r="J62" s="18">
        <v>90</v>
      </c>
      <c r="K62" s="26" t="s">
        <v>366</v>
      </c>
      <c r="L62" s="28" t="s">
        <v>371</v>
      </c>
      <c r="M62" s="91" t="s">
        <v>23</v>
      </c>
      <c r="N62" s="91"/>
      <c r="O62" s="91" t="str">
        <f t="shared" si="4"/>
        <v>W</v>
      </c>
      <c r="P62" s="26" t="str">
        <f t="shared" si="8"/>
        <v>N</v>
      </c>
      <c r="Q62" s="26" t="str">
        <f t="shared" si="9"/>
        <v>ST</v>
      </c>
      <c r="R62" s="26" t="str">
        <f t="shared" si="10"/>
        <v>Lv 1</v>
      </c>
      <c r="S62" s="26" t="str">
        <f t="shared" si="5"/>
        <v>Lv 2</v>
      </c>
      <c r="T62" s="84" t="str">
        <f t="shared" si="6"/>
        <v/>
      </c>
      <c r="U62" s="84" t="str">
        <f t="shared" si="11"/>
        <v/>
      </c>
      <c r="V62" s="85" t="str">
        <f t="shared" si="7"/>
        <v/>
      </c>
    </row>
    <row r="63" spans="1:22" s="23" customFormat="1" ht="72.75" customHeight="1">
      <c r="A63" s="60" t="s">
        <v>302</v>
      </c>
      <c r="B63" s="129" t="s">
        <v>421</v>
      </c>
      <c r="C63" s="33" t="s">
        <v>65</v>
      </c>
      <c r="D63" s="33" t="s">
        <v>66</v>
      </c>
      <c r="E63" s="33" t="s">
        <v>372</v>
      </c>
      <c r="F63" s="12" t="s">
        <v>339</v>
      </c>
      <c r="G63" s="18" t="s">
        <v>340</v>
      </c>
      <c r="H63" s="12" t="s">
        <v>328</v>
      </c>
      <c r="I63" s="45" t="s">
        <v>341</v>
      </c>
      <c r="J63" s="46">
        <v>74</v>
      </c>
      <c r="K63" s="26" t="s">
        <v>373</v>
      </c>
      <c r="L63" s="31" t="s">
        <v>178</v>
      </c>
      <c r="M63" s="91" t="s">
        <v>36</v>
      </c>
      <c r="N63" s="91"/>
      <c r="O63" s="91" t="str">
        <f t="shared" si="4"/>
        <v>W</v>
      </c>
      <c r="P63" s="26" t="str">
        <f t="shared" si="8"/>
        <v>N</v>
      </c>
      <c r="Q63" s="26" t="str">
        <f t="shared" si="9"/>
        <v>WR</v>
      </c>
      <c r="R63" s="26" t="str">
        <f t="shared" si="10"/>
        <v>Lv 1</v>
      </c>
      <c r="S63" s="26" t="str">
        <f t="shared" si="5"/>
        <v>Lv 1</v>
      </c>
      <c r="T63" s="84" t="str">
        <f t="shared" si="6"/>
        <v>W-N-WR-Lv 1-Lv 1</v>
      </c>
      <c r="U63" s="84" t="str">
        <f t="shared" si="11"/>
        <v>METAL-#3-2WAY</v>
      </c>
      <c r="V63" s="85" t="str">
        <f t="shared" si="7"/>
        <v>⚠️ [박지 주의] 초경량 원단: 지퍼 무게에 의한 처짐 및 미어짐 주의</v>
      </c>
    </row>
    <row r="64" spans="1:22" s="23" customFormat="1" ht="72.75" customHeight="1">
      <c r="A64" s="60" t="s">
        <v>302</v>
      </c>
      <c r="B64" s="129" t="s">
        <v>421</v>
      </c>
      <c r="C64" s="33" t="s">
        <v>65</v>
      </c>
      <c r="D64" s="33" t="s">
        <v>66</v>
      </c>
      <c r="E64" s="33" t="s">
        <v>374</v>
      </c>
      <c r="F64" s="18" t="s">
        <v>375</v>
      </c>
      <c r="G64" s="20" t="s">
        <v>376</v>
      </c>
      <c r="H64" s="53" t="s">
        <v>377</v>
      </c>
      <c r="I64" s="47" t="s">
        <v>378</v>
      </c>
      <c r="J64" s="48">
        <v>225</v>
      </c>
      <c r="K64" s="26" t="s">
        <v>361</v>
      </c>
      <c r="L64" s="31" t="s">
        <v>379</v>
      </c>
      <c r="M64" s="91" t="s">
        <v>36</v>
      </c>
      <c r="N64" s="91"/>
      <c r="O64" s="91" t="str">
        <f t="shared" si="4"/>
        <v>W</v>
      </c>
      <c r="P64" s="26" t="str">
        <f t="shared" si="8"/>
        <v>CX</v>
      </c>
      <c r="Q64" s="26" t="str">
        <f t="shared" si="9"/>
        <v>ST</v>
      </c>
      <c r="R64" s="26" t="str">
        <f t="shared" si="10"/>
        <v>Lv 1</v>
      </c>
      <c r="S64" s="26" t="str">
        <f t="shared" si="5"/>
        <v>Lv 3</v>
      </c>
      <c r="T64" s="84" t="str">
        <f t="shared" si="6"/>
        <v>W-CX-ST-Lv 1-Lv 3</v>
      </c>
      <c r="U64" s="84" t="str">
        <f t="shared" si="11"/>
        <v>METAL-#5-OE</v>
      </c>
      <c r="V64" s="85" t="str">
        <f t="shared" si="7"/>
        <v>⚠️ [파동 주의] 신축 원단+지퍼: 꿀렁임(웨이브) 및 이새 몰림 위험</v>
      </c>
    </row>
    <row r="65" spans="1:22" s="23" customFormat="1" ht="72.75" customHeight="1">
      <c r="A65" s="60" t="s">
        <v>302</v>
      </c>
      <c r="B65" s="129" t="s">
        <v>421</v>
      </c>
      <c r="C65" s="33" t="s">
        <v>65</v>
      </c>
      <c r="D65" s="33" t="s">
        <v>66</v>
      </c>
      <c r="E65" s="33" t="s">
        <v>380</v>
      </c>
      <c r="F65" s="18" t="s">
        <v>375</v>
      </c>
      <c r="G65" s="20" t="s">
        <v>381</v>
      </c>
      <c r="H65" s="53" t="s">
        <v>382</v>
      </c>
      <c r="I65" s="47" t="s">
        <v>378</v>
      </c>
      <c r="J65" s="48">
        <v>325</v>
      </c>
      <c r="K65" s="26" t="s">
        <v>361</v>
      </c>
      <c r="L65" s="31" t="s">
        <v>383</v>
      </c>
      <c r="M65" s="91" t="s">
        <v>36</v>
      </c>
      <c r="N65" s="91"/>
      <c r="O65" s="91" t="str">
        <f t="shared" si="4"/>
        <v>W</v>
      </c>
      <c r="P65" s="26" t="str">
        <f t="shared" si="8"/>
        <v>CX</v>
      </c>
      <c r="Q65" s="26" t="str">
        <f t="shared" si="9"/>
        <v>ST</v>
      </c>
      <c r="R65" s="26" t="str">
        <f t="shared" si="10"/>
        <v>Lv 3</v>
      </c>
      <c r="S65" s="26" t="str">
        <f t="shared" si="5"/>
        <v>Lv 4</v>
      </c>
      <c r="T65" s="84" t="str">
        <f t="shared" si="6"/>
        <v>W-CX-ST-Lv 3-Lv 4</v>
      </c>
      <c r="U65" s="84" t="str">
        <f t="shared" si="11"/>
        <v>METAL-#5-OE</v>
      </c>
      <c r="V65" s="85" t="str">
        <f t="shared" si="7"/>
        <v>⚠️ [파동 주의] 신축 원단+지퍼: 꿀렁임(웨이브) 및 이새 몰림 위험</v>
      </c>
    </row>
    <row r="66" spans="1:22" s="23" customFormat="1" ht="72.75" customHeight="1">
      <c r="A66" s="60" t="s">
        <v>302</v>
      </c>
      <c r="B66" s="129" t="s">
        <v>421</v>
      </c>
      <c r="C66" s="33" t="s">
        <v>79</v>
      </c>
      <c r="D66" s="33" t="s">
        <v>282</v>
      </c>
      <c r="E66" s="33" t="s">
        <v>384</v>
      </c>
      <c r="F66" s="12" t="s">
        <v>385</v>
      </c>
      <c r="G66" s="18" t="s">
        <v>386</v>
      </c>
      <c r="H66" s="12" t="s">
        <v>352</v>
      </c>
      <c r="I66" s="14" t="s">
        <v>387</v>
      </c>
      <c r="J66" s="14">
        <v>87</v>
      </c>
      <c r="K66" s="26" t="s">
        <v>56</v>
      </c>
      <c r="L66" s="28" t="s">
        <v>388</v>
      </c>
      <c r="M66" s="91" t="s">
        <v>23</v>
      </c>
      <c r="N66" s="91"/>
      <c r="O66" s="91" t="str">
        <f t="shared" si="4"/>
        <v>W</v>
      </c>
      <c r="P66" s="26" t="str">
        <f t="shared" si="8"/>
        <v>NX</v>
      </c>
      <c r="Q66" s="26" t="str">
        <f t="shared" si="9"/>
        <v>WR</v>
      </c>
      <c r="R66" s="26" t="str">
        <f t="shared" si="10"/>
        <v>Lv 3</v>
      </c>
      <c r="S66" s="26" t="str">
        <f t="shared" si="5"/>
        <v>Lv 2</v>
      </c>
      <c r="T66" s="84" t="str">
        <f t="shared" si="6"/>
        <v/>
      </c>
      <c r="U66" s="84" t="str">
        <f t="shared" si="11"/>
        <v/>
      </c>
      <c r="V66" s="85" t="str">
        <f t="shared" si="7"/>
        <v/>
      </c>
    </row>
    <row r="67" spans="1:22" s="23" customFormat="1" ht="72.75" customHeight="1">
      <c r="A67" s="60" t="s">
        <v>302</v>
      </c>
      <c r="B67" s="129" t="s">
        <v>421</v>
      </c>
      <c r="C67" s="33" t="s">
        <v>79</v>
      </c>
      <c r="D67" s="33" t="s">
        <v>389</v>
      </c>
      <c r="E67" s="33" t="s">
        <v>390</v>
      </c>
      <c r="F67" s="12" t="s">
        <v>350</v>
      </c>
      <c r="G67" s="18" t="s">
        <v>351</v>
      </c>
      <c r="H67" s="12" t="s">
        <v>352</v>
      </c>
      <c r="I67" s="18" t="s">
        <v>353</v>
      </c>
      <c r="J67" s="18">
        <v>115</v>
      </c>
      <c r="K67" s="26" t="s">
        <v>391</v>
      </c>
      <c r="L67" s="31" t="s">
        <v>392</v>
      </c>
      <c r="M67" s="91" t="s">
        <v>23</v>
      </c>
      <c r="N67" s="91"/>
      <c r="O67" s="91" t="str">
        <f t="shared" ref="O67:O70" si="12">_xlfn.IFS(B67="다이마루","K",B67="우븐","W",B67="스웨터","S",B67="데님","D")</f>
        <v>W</v>
      </c>
      <c r="P67" s="26" t="str">
        <f t="shared" si="8"/>
        <v>NX</v>
      </c>
      <c r="Q67" s="26" t="str">
        <f t="shared" si="9"/>
        <v>WR</v>
      </c>
      <c r="R67" s="26" t="str">
        <f t="shared" si="10"/>
        <v>Lv 3</v>
      </c>
      <c r="S67" s="26" t="str">
        <f t="shared" ref="S67:S70" si="13">IF(OR(J67="", J67=0), "",
 IF(J67&lt;=80, "Lv 1",
  IF(J67&lt;=160, "Lv 2",
   IF(J67&lt;=260, "Lv 3",
    IF(J67&lt;=360, "Lv 4",
     "Lv 5")))))</f>
        <v>Lv 2</v>
      </c>
      <c r="T67" s="84" t="str">
        <f t="shared" ref="T67:T70" si="14">IF(M67="O", _xlfn.TEXTJOIN("-", TRUE, O67:S67), "")</f>
        <v/>
      </c>
      <c r="U67" s="84" t="str">
        <f t="shared" si="11"/>
        <v/>
      </c>
      <c r="V67" s="85" t="str">
        <f t="shared" ref="V67:V70" si="15">IF(OR(T67="", U67=""), "",
IF(AND(OR(ISNUMBER(SEARCH("NX", T67)), ISNUMBER(SEARCH("CX", T67)), ISNUMBER(SEARCH("ST", T67)), ISNUMBER(SEARCH("P", T67))), OR(ISNUMBER(SEARCH("METAL", U67)), ISNUMBER(SEARCH("VS", U67)), ISNUMBER(SEARCH("NY", U67)))), "⚠️ [파동 주의] 신축 원단+지퍼: 꿀렁임(웨이브) 및 이새 몰림 위험",
IF(AND(ISNUMBER(SEARCH("Lv 1", T67)), OR(ISNUMBER(SEARCH("METAL", U67)), ISNUMBER(SEARCH("VS", U67)), ISNUMBER(SEARCH("NY", U67)))), "⚠️ [박지 주의] 초경량 원단: 지퍼 무게에 의한 처짐 및 미어짐 주의",
IF(AND(OR(ISNUMBER(SEARCH("D-", T67)), ISNUMBER(SEARCH("Indigo", G67))), ISNUMBER(SEARCH("VS", U67))), "⚠️ [이염 주의] 인디고 워싱 시 지퍼 이빨 이염 확인",
IF(AND(ISNUMBER(SEARCH("WP", T67)), NOT(ISNUMBER(SEARCH("WR", U67)))), "⚠️ [기능성 매칭] 방수 원단+일반 지퍼: 지퍼 틈새 누수 및 발수 확인",
"✅ 정상")))))</f>
        <v/>
      </c>
    </row>
    <row r="68" spans="1:22" s="23" customFormat="1" ht="72.75" customHeight="1">
      <c r="A68" s="60" t="s">
        <v>302</v>
      </c>
      <c r="B68" s="129" t="s">
        <v>421</v>
      </c>
      <c r="C68" s="33" t="s">
        <v>79</v>
      </c>
      <c r="D68" s="33" t="s">
        <v>393</v>
      </c>
      <c r="E68" s="26" t="s">
        <v>394</v>
      </c>
      <c r="F68" s="44" t="s">
        <v>395</v>
      </c>
      <c r="G68" s="7" t="s">
        <v>396</v>
      </c>
      <c r="H68" s="54" t="s">
        <v>328</v>
      </c>
      <c r="I68" s="49" t="s">
        <v>397</v>
      </c>
      <c r="J68" s="46">
        <v>150</v>
      </c>
      <c r="K68" s="26" t="s">
        <v>398</v>
      </c>
      <c r="L68" s="31" t="s">
        <v>204</v>
      </c>
      <c r="M68" s="91" t="s">
        <v>36</v>
      </c>
      <c r="N68" s="91"/>
      <c r="O68" s="91" t="str">
        <f t="shared" si="12"/>
        <v>W</v>
      </c>
      <c r="P68" s="26" t="str">
        <f t="shared" si="8"/>
        <v>N</v>
      </c>
      <c r="Q68" s="26" t="str">
        <f t="shared" si="9"/>
        <v>WR</v>
      </c>
      <c r="R68" s="26" t="str">
        <f t="shared" si="10"/>
        <v>Lv 1</v>
      </c>
      <c r="S68" s="26" t="str">
        <f t="shared" si="13"/>
        <v>Lv 2</v>
      </c>
      <c r="T68" s="84" t="str">
        <f t="shared" si="14"/>
        <v>W-N-WR-Lv 1-Lv 2</v>
      </c>
      <c r="U68" s="84" t="str">
        <f t="shared" si="11"/>
        <v>METAL-#5-2WAY</v>
      </c>
      <c r="V68" s="85" t="str">
        <f t="shared" si="15"/>
        <v>⚠️ [박지 주의] 초경량 원단: 지퍼 무게에 의한 처짐 및 미어짐 주의</v>
      </c>
    </row>
    <row r="69" spans="1:22" s="23" customFormat="1" ht="72.75" customHeight="1">
      <c r="A69" s="60" t="s">
        <v>302</v>
      </c>
      <c r="B69" s="129" t="s">
        <v>421</v>
      </c>
      <c r="C69" s="33" t="s">
        <v>79</v>
      </c>
      <c r="D69" s="33" t="s">
        <v>393</v>
      </c>
      <c r="E69" s="33" t="s">
        <v>399</v>
      </c>
      <c r="F69" s="12" t="s">
        <v>400</v>
      </c>
      <c r="G69" s="18" t="s">
        <v>401</v>
      </c>
      <c r="H69" s="12" t="s">
        <v>328</v>
      </c>
      <c r="I69" s="18" t="s">
        <v>402</v>
      </c>
      <c r="J69" s="18">
        <v>38</v>
      </c>
      <c r="K69" s="26" t="s">
        <v>403</v>
      </c>
      <c r="L69" s="31" t="s">
        <v>204</v>
      </c>
      <c r="M69" s="91" t="s">
        <v>23</v>
      </c>
      <c r="N69" s="91"/>
      <c r="O69" s="91" t="str">
        <f t="shared" si="12"/>
        <v>W</v>
      </c>
      <c r="P69" s="26" t="str">
        <f t="shared" si="8"/>
        <v>N</v>
      </c>
      <c r="Q69" s="26" t="str">
        <f t="shared" si="9"/>
        <v>WR</v>
      </c>
      <c r="R69" s="26" t="str">
        <f t="shared" si="10"/>
        <v>Lv 1</v>
      </c>
      <c r="S69" s="26" t="str">
        <f t="shared" si="13"/>
        <v>Lv 1</v>
      </c>
      <c r="T69" s="84" t="str">
        <f t="shared" si="14"/>
        <v/>
      </c>
      <c r="U69" s="84" t="str">
        <f t="shared" si="11"/>
        <v/>
      </c>
      <c r="V69" s="85" t="str">
        <f t="shared" si="15"/>
        <v/>
      </c>
    </row>
    <row r="70" spans="1:22" s="23" customFormat="1" ht="72.75" customHeight="1" thickBot="1">
      <c r="A70" s="61" t="s">
        <v>302</v>
      </c>
      <c r="B70" s="130" t="s">
        <v>1385</v>
      </c>
      <c r="C70" s="62" t="s">
        <v>404</v>
      </c>
      <c r="D70" s="62" t="s">
        <v>404</v>
      </c>
      <c r="E70" s="62" t="s">
        <v>405</v>
      </c>
      <c r="F70" s="64" t="s">
        <v>406</v>
      </c>
      <c r="G70" s="65" t="s">
        <v>407</v>
      </c>
      <c r="H70" s="66" t="s">
        <v>408</v>
      </c>
      <c r="I70" s="64"/>
      <c r="J70" s="67">
        <v>490</v>
      </c>
      <c r="K70" s="63" t="s">
        <v>25</v>
      </c>
      <c r="L70" s="82" t="s">
        <v>409</v>
      </c>
      <c r="M70" s="91" t="s">
        <v>23</v>
      </c>
      <c r="N70" s="91"/>
      <c r="O70" s="91" t="str">
        <f t="shared" si="12"/>
        <v>S</v>
      </c>
      <c r="P70" s="26" t="str">
        <f t="shared" si="8"/>
        <v>P</v>
      </c>
      <c r="Q70" s="26" t="str">
        <f t="shared" si="9"/>
        <v>ST</v>
      </c>
      <c r="R70" s="26" t="str">
        <f t="shared" si="10"/>
        <v>Lv 1</v>
      </c>
      <c r="S70" s="26" t="str">
        <f t="shared" si="13"/>
        <v>Lv 5</v>
      </c>
      <c r="T70" s="84" t="str">
        <f t="shared" si="14"/>
        <v/>
      </c>
      <c r="U70" s="84" t="str">
        <f t="shared" si="11"/>
        <v/>
      </c>
      <c r="V70" s="85" t="str">
        <f t="shared" si="15"/>
        <v/>
      </c>
    </row>
    <row r="71" spans="1:22" ht="114.75" customHeight="1">
      <c r="M71" s="92"/>
      <c r="N71" s="92"/>
      <c r="O71" s="92"/>
    </row>
    <row r="72" spans="1:22" ht="114.75" customHeight="1">
      <c r="M72" s="92"/>
      <c r="N72" s="92"/>
      <c r="O72" s="92"/>
    </row>
    <row r="73" spans="1:22" ht="114.75" customHeight="1">
      <c r="M73" s="92"/>
      <c r="N73" s="92"/>
      <c r="O73" s="92"/>
    </row>
    <row r="74" spans="1:22" ht="114.75" customHeight="1">
      <c r="M74" s="92"/>
      <c r="N74" s="92"/>
      <c r="O74" s="92"/>
    </row>
    <row r="75" spans="1:22" ht="114.75" customHeight="1">
      <c r="M75" s="92"/>
      <c r="N75" s="92"/>
      <c r="O75" s="92"/>
    </row>
    <row r="76" spans="1:22" ht="114.75" customHeight="1">
      <c r="M76" s="92"/>
      <c r="N76" s="92"/>
      <c r="O76" s="92"/>
    </row>
    <row r="77" spans="1:22" ht="114.75" customHeight="1">
      <c r="M77" s="92"/>
      <c r="N77" s="92"/>
      <c r="O77" s="92"/>
    </row>
  </sheetData>
  <autoFilter ref="A1:L70" xr:uid="{67E285BA-AA72-4B1F-8B6F-AE7B244EF8AF}"/>
  <phoneticPr fontId="1" type="noConversion"/>
  <conditionalFormatting sqref="V1:V1048576">
    <cfRule type="containsText" dxfId="5" priority="1" operator="containsText" text="⚠️">
      <formula>NOT(ISERROR(SEARCH("⚠️",V1)))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2EA39F-C9A4-44C0-BDE1-E67C6B55587C}">
  <dimension ref="A1:Z89"/>
  <sheetViews>
    <sheetView zoomScale="25" zoomScaleNormal="25" workbookViewId="0">
      <pane ySplit="1" topLeftCell="A72" activePane="bottomLeft" state="frozen"/>
      <selection pane="bottomLeft" activeCell="I88" sqref="I88"/>
    </sheetView>
  </sheetViews>
  <sheetFormatPr defaultColWidth="9" defaultRowHeight="27.6"/>
  <cols>
    <col min="1" max="2" width="20.3984375" style="3" customWidth="1"/>
    <col min="3" max="3" width="20.8984375" style="3" customWidth="1"/>
    <col min="4" max="4" width="25.19921875" style="3" customWidth="1"/>
    <col min="5" max="5" width="22.3984375" style="3" customWidth="1"/>
    <col min="6" max="6" width="52" style="4" customWidth="1"/>
    <col min="7" max="7" width="53.19921875" style="4" customWidth="1"/>
    <col min="8" max="8" width="61.09765625" style="4" customWidth="1"/>
    <col min="9" max="9" width="27" style="4" customWidth="1"/>
    <col min="10" max="10" width="14.3984375" style="4" customWidth="1"/>
    <col min="11" max="13" width="27" style="4" customWidth="1"/>
    <col min="14" max="14" width="58.8984375" style="3" customWidth="1"/>
    <col min="15" max="15" width="13.59765625" style="34" customWidth="1"/>
    <col min="16" max="16" width="13.09765625" style="34" customWidth="1"/>
    <col min="17" max="17" width="13.09765625" style="73" customWidth="1"/>
    <col min="18" max="19" width="13.09765625" style="34" customWidth="1"/>
    <col min="20" max="20" width="33.09765625" style="34" bestFit="1" customWidth="1"/>
    <col min="21" max="22" width="29.59765625" style="3" customWidth="1"/>
    <col min="23" max="23" width="34" style="3" customWidth="1"/>
    <col min="24" max="24" width="109.09765625" style="3" customWidth="1"/>
    <col min="25" max="26" width="44" style="89" customWidth="1"/>
    <col min="27" max="16384" width="9" style="3"/>
  </cols>
  <sheetData>
    <row r="1" spans="1:26" s="4" customFormat="1" ht="62.25" customHeight="1">
      <c r="A1" s="90" t="s">
        <v>841</v>
      </c>
      <c r="B1" s="90" t="s">
        <v>842</v>
      </c>
      <c r="C1" s="90" t="s">
        <v>843</v>
      </c>
      <c r="D1" s="90" t="s">
        <v>844</v>
      </c>
      <c r="E1" s="90" t="s">
        <v>3</v>
      </c>
      <c r="F1" s="90" t="s">
        <v>845</v>
      </c>
      <c r="G1" s="90" t="s">
        <v>410</v>
      </c>
      <c r="H1" s="90" t="s">
        <v>411</v>
      </c>
      <c r="I1" s="90" t="s">
        <v>846</v>
      </c>
      <c r="J1" s="95" t="s">
        <v>412</v>
      </c>
      <c r="K1" s="90" t="s">
        <v>847</v>
      </c>
      <c r="L1" s="96" t="s">
        <v>848</v>
      </c>
      <c r="M1" s="90" t="s">
        <v>840</v>
      </c>
      <c r="N1" s="90" t="s">
        <v>849</v>
      </c>
      <c r="O1" s="86" t="s">
        <v>1391</v>
      </c>
      <c r="P1" s="86" t="s">
        <v>6</v>
      </c>
      <c r="Q1" s="86" t="s">
        <v>7</v>
      </c>
      <c r="R1" s="86" t="s">
        <v>8</v>
      </c>
      <c r="S1" s="87" t="s">
        <v>9</v>
      </c>
      <c r="T1" s="83" t="s">
        <v>12</v>
      </c>
      <c r="U1" s="86" t="s">
        <v>413</v>
      </c>
      <c r="V1" s="86" t="s">
        <v>414</v>
      </c>
      <c r="W1" s="136" t="s">
        <v>415</v>
      </c>
      <c r="X1" s="83" t="s">
        <v>14</v>
      </c>
      <c r="Y1" s="88"/>
      <c r="Z1" s="88"/>
    </row>
    <row r="2" spans="1:26" s="4" customFormat="1" ht="73.5" customHeight="1">
      <c r="A2" s="91" t="s">
        <v>850</v>
      </c>
      <c r="B2" s="91" t="s">
        <v>851</v>
      </c>
      <c r="C2" s="91" t="s">
        <v>852</v>
      </c>
      <c r="D2" s="91" t="s">
        <v>853</v>
      </c>
      <c r="E2" s="91" t="s">
        <v>854</v>
      </c>
      <c r="F2" s="91" t="s">
        <v>852</v>
      </c>
      <c r="G2" s="91" t="s">
        <v>855</v>
      </c>
      <c r="H2" s="91" t="s">
        <v>856</v>
      </c>
      <c r="I2" s="91" t="s">
        <v>857</v>
      </c>
      <c r="J2" s="91">
        <v>350</v>
      </c>
      <c r="K2" s="21" t="s">
        <v>416</v>
      </c>
      <c r="L2" s="91" t="s">
        <v>417</v>
      </c>
      <c r="M2" s="91" t="s">
        <v>23</v>
      </c>
      <c r="N2" s="91"/>
      <c r="O2" s="91" t="str">
        <f>_xlfn.IFS(B2="다이마루","K",B2="우븐","W",B2="스웨터","S",B2="데님","D")</f>
        <v>K</v>
      </c>
      <c r="P2" s="26" t="str">
        <f t="shared" ref="P2:P33" si="0">IF(H2="", "",
 IF(AND(ISNUMBER(SEARCH("Cotton", H2)), OR(ISNUMBER(SEARCH("Sorona", H2)), ISNUMBER(SEARCH("Polyester(Sorona)", H2)))), "CS",
  IF(AND(ISNUMBER(SEARCH("Nylon", H2)), OR(ISNUMBER(SEARCH("Span", H2)), ISNUMBER(SEARCH("Polyurethane", H2)), ISNUMBER(SEARCH("Elastane", H2)))), "NX",
   IF(AND(ISNUMBER(SEARCH("Nylon", H2)), NOT(OR(ISNUMBER(SEARCH("Cotton", H2)), ISNUMBER(SEARCH("Polyester", H2)), ISNUMBER(SEARCH("Rayon", H2)), ISNUMBER(SEARCH("Modal", H2)), ISNUMBER(SEARCH("Viscose", H2))))), "N",
    IF(AND(ISNUMBER(SEARCH("Cotton", H2)), NOT(OR(ISNUMBER(SEARCH("Polyester", H2)), ISNUMBER(SEARCH("Nylon", H2)), ISNUMBER(SEARCH("Rayon", H2)), ISNUMBER(SEARCH("Modal", H2)), ISNUMBER(SEARCH("Viscose", H2)), ISNUMBER(SEARCH("Polyurethane", H2)), ISNUMBER(SEARCH("Span", H2))))), "C",
     IF(ISNUMBER(SEARCH("Cotton", H2)), "CX",
      IF(AND(ISNUMBER(SEARCH("Polyester", H2)), NOT(OR(ISNUMBER(SEARCH("Cotton", H2)), ISNUMBER(SEARCH("Nylon", H2)), ISNUMBER(SEARCH("Wool", H2)), ISNUMBER(SEARCH("Rayon", H2))))), "P",
       "S")))))))</f>
        <v>CX</v>
      </c>
      <c r="Q2" s="26" t="str">
        <f t="shared" ref="Q2:Q33" si="1">IF(OR(I2="", I2="X", I2="None"), "ST",
 IF(OR(ISNUMBER(SEARCH("Layer", I2)), ISNUMBER(SEARCH("Lamination", I2)), ISNUMBER(SEARCH("TPU", I2)), ISNUMBER(SEARCH("PU", I2))), "WP",
  IF(OR(ISNUMBER(SEARCH("WR", I2)), ISNUMBER(SEARCH("DWR", I2)), ISNUMBER(SEARCH("Cire", I2)), ISNUMBER(SEARCH("Coating", I2)), ISNUMBER(SEARCH("Print", I2))), "WR",
   IF(OR(ISNUMBER(SEARCH("Bio", I2)), ISNUMBER(SEARCH("Enzyme", I2)), ISNUMBER(SEARCH("Peach", I2)), ISNUMBER(SEARCH("Brush", I2)), ISNUMBER(SEARCH("Tumble", I2)), ISNUMBER(SEARCH("Airo", I2))), "AF",
    IF(OR(ISNUMBER(SEARCH("UV", I2)), ISNUMBER(SEARCH("Dry", I2)), ISNUMBER(SEARCH("Wick", I2)), ISNUMBER(SEARCH("Hydrolysis", I2))), "FN",
     "ST")))))</f>
        <v>AF</v>
      </c>
      <c r="R2" s="26" t="str">
        <f t="shared" ref="R2:R33" si="2">IF(H2="", "",
 IF(OR(ISNUMBER(SEARCH("Span",H2)), ISNUMBER(SEARCH("Polyurethane",H2)), ISNUMBER(SEARCH("PU",H2))),
    IF(IFERROR(VALUE(LEFT(SUBSTITUTE(MID(H2,SEARCH("%",H2)-3,3),",",""),2)),0)&gt;=12, "Lv 5",
    IF(IFERROR(VALUE(LEFT(SUBSTITUTE(MID(H2,SEARCH("%",H2)-3,3),",",""),2)),0)&gt;=6, "Lv 4", "Lv 3")),
    IF(OR(ISNUMBER(SEARCH("Sorona",H2)), ISNUMBER(SEARCH("T400",H2)), ISNUMBER(SEARCH("Knit",H2))), "Lv 2", "Lv 1")
 ))</f>
        <v>Lv 1</v>
      </c>
      <c r="S2" s="26" t="str">
        <f t="shared" ref="S2:S33" si="3">IF(OR(J2="", J2=0), "",
 IF(J2&lt;=80, "Lv 1",
  IF(J2&lt;=160, "Lv 2",
   IF(J2&lt;=260, "Lv 3",
    IF(J2&lt;=360, "Lv 4",
     "Lv 5")))))</f>
        <v>Lv 4</v>
      </c>
      <c r="T2" s="84" t="str">
        <f>IF(M2="O", _xlfn.TEXTJOIN("-", TRUE, O2:S2), "")</f>
        <v/>
      </c>
      <c r="U2" s="137" t="str">
        <f>IF(OR(ISNUMBER(SEARCH("스티치", K2)), ISNUMBER(SEARCH("가이루빠", K2)), ISNUMBER(SEARCH("수소", K2))), "ST",
 IF(OR(ISNUMBER(SEARCH("카라", K2)), ISNUMBER(SEARCH("넥", K2)), ISNUMBER(SEARCH("바인딩", K2))), "NK",
  IF(ISNUMBER(SEARCH("포켓", K2)), "PKT",
   IF(OR(ISNUMBER(SEARCH("요크", K2)), ISNUMBER(SEARCH("절개", K2)), ISNUMBER(SEARCH("라글란", K2)), ISNUMBER(SEARCH("플라켓", K2))), "DTL",
    IF(OR(ISNUMBER(SEARCH("심실링", K2)), ISNUMBER(SEARCH("웰딩", K2))), "ADH", "ETC")))))</f>
        <v>NK</v>
      </c>
      <c r="V2" s="137" t="str">
        <f>IF(ISNUMBER(SEARCH("1/4", K2)), "QTR",
 IF(OR(ISNUMBER(SEARCH("1/16", K2)), ISNUMBER(SEARCH("싱글", K2))), "SGL",
  IF(ISNUMBER(SEARCH("가이루빠", K2)), "FL",
   IF(ISNUMBER(SEARCH("수소", K2)), "BLD",
    IF(ISNUMBER(SEARCH("재원단", K2)), "SELF",
     IF(ISNUMBER(SEARCH("바인딩", K2)), "BND",
      IF(ISNUMBER(SEARCH("파이핑", K2)), "PIP",
       IF(ISNUMBER(SEARCH("카고", K2)), "CGO",
        IF(OR(ISNUMBER(SEARCH("구찌", K2)), ISNUMBER(SEARCH("웰트", K2))), "WLT",
         IF(OR(ISNUMBER(SEARCH("후다", K2)), ISNUMBER(SEARCH("플랩", K2))), "FLP",
          IF(ISNUMBER(SEARCH("라글란", K2)), "RGL",
           IF(ISNUMBER(SEARCH("플라켓", K2)), "PLK", "REG"))))))))))))</f>
        <v>SELF</v>
      </c>
      <c r="W2" s="138" t="str">
        <f t="shared" ref="W2:W7" si="4">IF(M2="O", _xlfn.TEXTJOIN("-", TRUE, U2:V2), "")</f>
        <v/>
      </c>
      <c r="X2" s="5" t="str">
        <f>IF(OR(T2="", W2=""), "",
IF(AND(OR(ISNUMBER(SEARCH("DTL", W2)), ISNUMBER(SEARCH("ST", W2))), OR(ISNUMBER(SEARCH("D", LEFT(T2,1))), ISNUMBER(SEARCH("Wash", T2)), ISNUMBER(SEARCH("Wash", I2)), ISNUMBER(SEARCH("Wash", G2)), ISNUMBER(SEARCH("Bleach", I2)), ISNUMBER(SEARCH("Desizing", I2)))), "⚠️ [워싱/절개 변형] 워싱·탈색 공정 시 절개/요크 꿀렁임 및 스티치 보풀(필링) 주의",
IF(AND(OR(ISNUMBER(SEARCH("PKT", W2)), ISNUMBER(SEARCH("ETC", W2)), ISNUMBER(SEARCH("FLP", W2))), OR(ISNUMBER(SEARCH("Lv 1", T2)), ISNUMBER(SEARCH("Lv 2", T2)), ISNUMBER(SEARCH("CX", T2)), ISNUMBER(SEARCH("ST", T2)))), "⚠️ [포켓/하중 주의] 얇거나 신축성 있는 원단: 포켓 입구 벌어짐 및 처짐 방지 공정 필수",
IF(AND(ISNUMBER(SEARCH("NK", W2)), OR(ISNUMBER(SEARCH("Lv 4", T2)), ISNUMBER(SEARCH("Lv 5", T2)))), "⚠️ [넥 변형 주의] 고중량 소재 카라 놓임 불량 및 라인 왜곡 확인",
IF(AND(ISNUMBER(SEARCH("SEA", W2)), OR(ISNUMBER(SEARCH("WP", T2)), ISNUMBER(SEARCH("PU", T2)))), "⚠️ [밀림 주의] 방수 코팅면 심실링 밀림 및 접착 불량 유발",
IF(AND(ISNUMBER(SEARCH("FILM", W2)), ISNUMBER(SEARCH("N", T2))), "⚠️ [열변색 주의] 나일론 고온 압착 시 승화 이염 및 수축 테스트 필수",
IF(OR(ISNUMBER(SEARCH("BND", W2)), ISNUMBER(SEARCH("PIP", W2))), "⚠️ [꼬임 주의] 바인딩/파이핑 작업 시 커브 구간 뒤틀림 점검",
IF(AND(ISNUMBER(SEARCH("HEAVY", W2)), ISNUMBER(SEARCH("Lv 1", T2))), "⚠️ [원단 데미지] 초경량 원단 자수 밀도 과다에 의한 찢어짐 주의",
"✅ 정상"))))))))</f>
        <v/>
      </c>
      <c r="Y2" s="88"/>
      <c r="Z2" s="88"/>
    </row>
    <row r="3" spans="1:26" s="4" customFormat="1" ht="73.5" customHeight="1">
      <c r="A3" s="91" t="s">
        <v>850</v>
      </c>
      <c r="B3" s="91" t="s">
        <v>851</v>
      </c>
      <c r="C3" s="91" t="s">
        <v>111</v>
      </c>
      <c r="D3" s="91" t="s">
        <v>111</v>
      </c>
      <c r="E3" s="91" t="s">
        <v>858</v>
      </c>
      <c r="F3" s="91" t="s">
        <v>852</v>
      </c>
      <c r="G3" s="91" t="s">
        <v>859</v>
      </c>
      <c r="H3" s="91" t="s">
        <v>852</v>
      </c>
      <c r="I3" s="91" t="s">
        <v>852</v>
      </c>
      <c r="J3" s="91" t="s">
        <v>852</v>
      </c>
      <c r="K3" s="21" t="s">
        <v>416</v>
      </c>
      <c r="L3" s="91" t="s">
        <v>417</v>
      </c>
      <c r="M3" s="91" t="s">
        <v>23</v>
      </c>
      <c r="N3" s="21"/>
      <c r="O3" s="91" t="str">
        <f t="shared" ref="O3:O66" si="5">_xlfn.IFS(B3="다이마루","K",B3="우븐","W",B3="스웨터","S",B3="데님","D")</f>
        <v>K</v>
      </c>
      <c r="P3" s="26" t="str">
        <f t="shared" si="0"/>
        <v>S</v>
      </c>
      <c r="Q3" s="26" t="str">
        <f t="shared" si="1"/>
        <v>ST</v>
      </c>
      <c r="R3" s="26" t="str">
        <f t="shared" si="2"/>
        <v>Lv 1</v>
      </c>
      <c r="S3" s="26" t="str">
        <f t="shared" si="3"/>
        <v>Lv 5</v>
      </c>
      <c r="T3" s="84" t="str">
        <f t="shared" ref="T3:T66" si="6">IF(M3="O", _xlfn.TEXTJOIN("-", TRUE, O3:S3), "")</f>
        <v/>
      </c>
      <c r="U3" s="137" t="str">
        <f t="shared" ref="U3:U66" si="7">IF(OR(ISNUMBER(SEARCH("스티치", K3)), ISNUMBER(SEARCH("가이루빠", K3)), ISNUMBER(SEARCH("수소", K3))), "ST",
 IF(OR(ISNUMBER(SEARCH("카라", K3)), ISNUMBER(SEARCH("넥", K3)), ISNUMBER(SEARCH("바인딩", K3))), "NK",
  IF(ISNUMBER(SEARCH("포켓", K3)), "PKT",
   IF(OR(ISNUMBER(SEARCH("요크", K3)), ISNUMBER(SEARCH("절개", K3)), ISNUMBER(SEARCH("라글란", K3)), ISNUMBER(SEARCH("플라켓", K3))), "DTL",
    IF(OR(ISNUMBER(SEARCH("심실링", K3)), ISNUMBER(SEARCH("웰딩", K3))), "ADH", "ETC")))))</f>
        <v>NK</v>
      </c>
      <c r="V3" s="137" t="str">
        <f t="shared" ref="V3:V66" si="8">IF(ISNUMBER(SEARCH("1/4", K3)), "QTR",
 IF(OR(ISNUMBER(SEARCH("1/16", K3)), ISNUMBER(SEARCH("싱글", K3))), "SGL",
  IF(ISNUMBER(SEARCH("가이루빠", K3)), "FL",
   IF(ISNUMBER(SEARCH("수소", K3)), "BLD",
    IF(ISNUMBER(SEARCH("재원단", K3)), "SELF",
     IF(ISNUMBER(SEARCH("바인딩", K3)), "BND",
      IF(ISNUMBER(SEARCH("파이핑", K3)), "PIP",
       IF(ISNUMBER(SEARCH("카고", K3)), "CGO",
        IF(OR(ISNUMBER(SEARCH("구찌", K3)), ISNUMBER(SEARCH("웰트", K3))), "WLT",
         IF(OR(ISNUMBER(SEARCH("후다", K3)), ISNUMBER(SEARCH("플랩", K3))), "FLP",
          IF(ISNUMBER(SEARCH("라글란", K3)), "RGL",
           IF(ISNUMBER(SEARCH("플라켓", K3)), "PLK", "REG"))))))))))))</f>
        <v>SELF</v>
      </c>
      <c r="W3" s="138" t="str">
        <f t="shared" si="4"/>
        <v/>
      </c>
      <c r="X3" s="5" t="str">
        <f t="shared" ref="X3:X66" si="9">IF(OR(T3="", W3=""), "",
IF(AND(OR(ISNUMBER(SEARCH("DTL", W3)), ISNUMBER(SEARCH("ST", W3))), OR(ISNUMBER(SEARCH("D", LEFT(T3,1))), ISNUMBER(SEARCH("Wash", T3)), ISNUMBER(SEARCH("Wash", I3)), ISNUMBER(SEARCH("Wash", G3)), ISNUMBER(SEARCH("Bleach", I3)), ISNUMBER(SEARCH("Desizing", I3)))), "⚠️ [워싱/절개 변형] 워싱·탈색 공정 시 절개/요크 꿀렁임 및 스티치 보풀(필링) 주의",
IF(AND(OR(ISNUMBER(SEARCH("PKT", W3)), ISNUMBER(SEARCH("ETC", W3)), ISNUMBER(SEARCH("FLP", W3))), OR(ISNUMBER(SEARCH("Lv 1", T3)), ISNUMBER(SEARCH("Lv 2", T3)), ISNUMBER(SEARCH("CX", T3)), ISNUMBER(SEARCH("ST", T3)))), "⚠️ [포켓/하중 주의] 얇거나 신축성 있는 원단: 포켓 입구 벌어짐 및 처짐 방지 공정 필수",
IF(AND(ISNUMBER(SEARCH("NK", W3)), OR(ISNUMBER(SEARCH("Lv 4", T3)), ISNUMBER(SEARCH("Lv 5", T3)))), "⚠️ [넥 변형 주의] 고중량 소재 카라 놓임 불량 및 라인 왜곡 확인",
IF(AND(ISNUMBER(SEARCH("SEA", W3)), OR(ISNUMBER(SEARCH("WP", T3)), ISNUMBER(SEARCH("PU", T3)))), "⚠️ [밀림 주의] 방수 코팅면 심실링 밀림 및 접착 불량 유발",
IF(AND(ISNUMBER(SEARCH("FILM", W3)), ISNUMBER(SEARCH("N", T3))), "⚠️ [열변색 주의] 나일론 고온 압착 시 승화 이염 및 수축 테스트 필수",
IF(OR(ISNUMBER(SEARCH("BND", W3)), ISNUMBER(SEARCH("PIP", W3))), "⚠️ [꼬임 주의] 바인딩/파이핑 작업 시 커브 구간 뒤틀림 점검",
IF(AND(ISNUMBER(SEARCH("HEAVY", W3)), ISNUMBER(SEARCH("Lv 1", T3))), "⚠️ [원단 데미지] 초경량 원단 자수 밀도 과다에 의한 찢어짐 주의",
"✅ 정상"))))))))</f>
        <v/>
      </c>
      <c r="Y3" s="88"/>
      <c r="Z3" s="88"/>
    </row>
    <row r="4" spans="1:26" s="4" customFormat="1" ht="121.5" customHeight="1">
      <c r="A4" s="91" t="s">
        <v>850</v>
      </c>
      <c r="B4" s="91" t="s">
        <v>851</v>
      </c>
      <c r="C4" s="91" t="s">
        <v>111</v>
      </c>
      <c r="D4" s="91" t="s">
        <v>111</v>
      </c>
      <c r="E4" s="91" t="s">
        <v>860</v>
      </c>
      <c r="F4" s="91" t="s">
        <v>852</v>
      </c>
      <c r="G4" s="91" t="s">
        <v>855</v>
      </c>
      <c r="H4" s="91" t="s">
        <v>856</v>
      </c>
      <c r="I4" s="91" t="s">
        <v>857</v>
      </c>
      <c r="J4" s="91">
        <v>350</v>
      </c>
      <c r="K4" s="91" t="s">
        <v>419</v>
      </c>
      <c r="L4" s="91" t="s">
        <v>420</v>
      </c>
      <c r="M4" s="91" t="s">
        <v>23</v>
      </c>
      <c r="N4" s="91"/>
      <c r="O4" s="91" t="str">
        <f t="shared" si="5"/>
        <v>K</v>
      </c>
      <c r="P4" s="26" t="str">
        <f t="shared" si="0"/>
        <v>CX</v>
      </c>
      <c r="Q4" s="26" t="str">
        <f t="shared" si="1"/>
        <v>AF</v>
      </c>
      <c r="R4" s="26" t="str">
        <f t="shared" si="2"/>
        <v>Lv 1</v>
      </c>
      <c r="S4" s="26" t="str">
        <f t="shared" si="3"/>
        <v>Lv 4</v>
      </c>
      <c r="T4" s="84" t="str">
        <f t="shared" si="6"/>
        <v/>
      </c>
      <c r="U4" s="137" t="str">
        <f t="shared" si="7"/>
        <v>ETC</v>
      </c>
      <c r="V4" s="137" t="str">
        <f t="shared" si="8"/>
        <v>REG</v>
      </c>
      <c r="W4" s="138" t="str">
        <f t="shared" si="4"/>
        <v/>
      </c>
      <c r="X4" s="5" t="str">
        <f t="shared" si="9"/>
        <v/>
      </c>
      <c r="Y4" s="88"/>
      <c r="Z4" s="88"/>
    </row>
    <row r="5" spans="1:26" s="4" customFormat="1" ht="121.5" customHeight="1">
      <c r="A5" s="91" t="s">
        <v>850</v>
      </c>
      <c r="B5" s="91" t="s">
        <v>861</v>
      </c>
      <c r="C5" s="91" t="s">
        <v>154</v>
      </c>
      <c r="D5" s="91" t="s">
        <v>862</v>
      </c>
      <c r="E5" s="91" t="s">
        <v>863</v>
      </c>
      <c r="F5" s="91" t="s">
        <v>422</v>
      </c>
      <c r="G5" s="91" t="s">
        <v>423</v>
      </c>
      <c r="H5" s="91" t="s">
        <v>424</v>
      </c>
      <c r="I5" s="91" t="s">
        <v>22</v>
      </c>
      <c r="J5" s="91">
        <v>345</v>
      </c>
      <c r="K5" s="91" t="s">
        <v>864</v>
      </c>
      <c r="L5" s="91" t="s">
        <v>865</v>
      </c>
      <c r="M5" s="91" t="s">
        <v>23</v>
      </c>
      <c r="N5" s="91"/>
      <c r="O5" s="91" t="str">
        <f t="shared" si="5"/>
        <v>W</v>
      </c>
      <c r="P5" s="26" t="str">
        <f t="shared" si="0"/>
        <v>P</v>
      </c>
      <c r="Q5" s="26" t="str">
        <f t="shared" si="1"/>
        <v>AF</v>
      </c>
      <c r="R5" s="26" t="str">
        <f t="shared" si="2"/>
        <v>Lv 3</v>
      </c>
      <c r="S5" s="26" t="str">
        <f t="shared" si="3"/>
        <v>Lv 4</v>
      </c>
      <c r="T5" s="84" t="str">
        <f t="shared" si="6"/>
        <v/>
      </c>
      <c r="U5" s="137" t="str">
        <f t="shared" si="7"/>
        <v>NK</v>
      </c>
      <c r="V5" s="137" t="str">
        <f t="shared" si="8"/>
        <v>BND</v>
      </c>
      <c r="W5" s="138" t="str">
        <f t="shared" si="4"/>
        <v/>
      </c>
      <c r="X5" s="5" t="str">
        <f t="shared" si="9"/>
        <v/>
      </c>
      <c r="Y5" s="88"/>
      <c r="Z5" s="88"/>
    </row>
    <row r="6" spans="1:26" s="4" customFormat="1" ht="121.5" customHeight="1">
      <c r="A6" s="91" t="s">
        <v>850</v>
      </c>
      <c r="B6" s="91" t="s">
        <v>851</v>
      </c>
      <c r="C6" s="91" t="s">
        <v>479</v>
      </c>
      <c r="D6" s="91" t="s">
        <v>17</v>
      </c>
      <c r="E6" s="91" t="s">
        <v>866</v>
      </c>
      <c r="F6" s="91" t="s">
        <v>119</v>
      </c>
      <c r="G6" s="91" t="s">
        <v>120</v>
      </c>
      <c r="H6" s="91" t="s">
        <v>121</v>
      </c>
      <c r="I6" s="91" t="s">
        <v>122</v>
      </c>
      <c r="J6" s="91">
        <v>350</v>
      </c>
      <c r="K6" s="91" t="s">
        <v>425</v>
      </c>
      <c r="L6" s="91" t="s">
        <v>867</v>
      </c>
      <c r="M6" s="91" t="s">
        <v>23</v>
      </c>
      <c r="N6" s="91"/>
      <c r="O6" s="91" t="str">
        <f t="shared" si="5"/>
        <v>K</v>
      </c>
      <c r="P6" s="26" t="str">
        <f t="shared" si="0"/>
        <v>CS</v>
      </c>
      <c r="Q6" s="26" t="str">
        <f t="shared" si="1"/>
        <v>AF</v>
      </c>
      <c r="R6" s="26" t="str">
        <f t="shared" si="2"/>
        <v>Lv 2</v>
      </c>
      <c r="S6" s="26" t="str">
        <f t="shared" si="3"/>
        <v>Lv 4</v>
      </c>
      <c r="T6" s="84" t="str">
        <f t="shared" si="6"/>
        <v/>
      </c>
      <c r="U6" s="137" t="str">
        <f t="shared" si="7"/>
        <v>ST</v>
      </c>
      <c r="V6" s="137" t="str">
        <f t="shared" si="8"/>
        <v>FL</v>
      </c>
      <c r="W6" s="138" t="str">
        <f t="shared" si="4"/>
        <v/>
      </c>
      <c r="X6" s="5" t="str">
        <f t="shared" si="9"/>
        <v/>
      </c>
      <c r="Y6" s="88"/>
      <c r="Z6" s="88"/>
    </row>
    <row r="7" spans="1:26" s="4" customFormat="1" ht="121.5" customHeight="1">
      <c r="A7" s="91" t="s">
        <v>850</v>
      </c>
      <c r="B7" s="91" t="s">
        <v>851</v>
      </c>
      <c r="C7" s="91" t="s">
        <v>479</v>
      </c>
      <c r="D7" s="91" t="s">
        <v>868</v>
      </c>
      <c r="E7" s="91" t="s">
        <v>869</v>
      </c>
      <c r="F7" s="91" t="s">
        <v>32</v>
      </c>
      <c r="G7" s="91" t="s">
        <v>33</v>
      </c>
      <c r="H7" s="91" t="s">
        <v>34</v>
      </c>
      <c r="I7" s="91" t="s">
        <v>35</v>
      </c>
      <c r="J7" s="91">
        <v>96</v>
      </c>
      <c r="K7" s="91" t="s">
        <v>426</v>
      </c>
      <c r="L7" s="91" t="s">
        <v>870</v>
      </c>
      <c r="M7" s="91" t="s">
        <v>23</v>
      </c>
      <c r="N7" s="91"/>
      <c r="O7" s="91" t="str">
        <f t="shared" si="5"/>
        <v>K</v>
      </c>
      <c r="P7" s="26" t="str">
        <f t="shared" si="0"/>
        <v>NX</v>
      </c>
      <c r="Q7" s="26" t="str">
        <f t="shared" si="1"/>
        <v>WR</v>
      </c>
      <c r="R7" s="26" t="str">
        <f t="shared" si="2"/>
        <v>Lv 3</v>
      </c>
      <c r="S7" s="26" t="str">
        <f t="shared" si="3"/>
        <v>Lv 2</v>
      </c>
      <c r="T7" s="84" t="str">
        <f t="shared" si="6"/>
        <v/>
      </c>
      <c r="U7" s="137" t="str">
        <f t="shared" si="7"/>
        <v>DTL</v>
      </c>
      <c r="V7" s="137" t="str">
        <f t="shared" si="8"/>
        <v>RGL</v>
      </c>
      <c r="W7" s="138" t="str">
        <f t="shared" si="4"/>
        <v/>
      </c>
      <c r="X7" s="5" t="str">
        <f t="shared" si="9"/>
        <v/>
      </c>
      <c r="Y7" s="88"/>
      <c r="Z7" s="88"/>
    </row>
    <row r="8" spans="1:26" s="4" customFormat="1" ht="121.5" customHeight="1">
      <c r="A8" s="91" t="s">
        <v>850</v>
      </c>
      <c r="B8" s="91" t="s">
        <v>851</v>
      </c>
      <c r="C8" s="91" t="s">
        <v>479</v>
      </c>
      <c r="D8" s="91" t="s">
        <v>868</v>
      </c>
      <c r="E8" s="91" t="s">
        <v>871</v>
      </c>
      <c r="F8" s="91" t="s">
        <v>173</v>
      </c>
      <c r="G8" s="91" t="s">
        <v>485</v>
      </c>
      <c r="H8" s="91" t="s">
        <v>486</v>
      </c>
      <c r="I8" s="91" t="s">
        <v>35</v>
      </c>
      <c r="J8" s="91">
        <v>151</v>
      </c>
      <c r="K8" s="91" t="s">
        <v>428</v>
      </c>
      <c r="L8" s="91" t="s">
        <v>872</v>
      </c>
      <c r="M8" s="91" t="s">
        <v>36</v>
      </c>
      <c r="N8" s="91" t="s">
        <v>873</v>
      </c>
      <c r="O8" s="91" t="str">
        <f t="shared" si="5"/>
        <v>K</v>
      </c>
      <c r="P8" s="26" t="str">
        <f t="shared" si="0"/>
        <v>NX</v>
      </c>
      <c r="Q8" s="26" t="str">
        <f t="shared" si="1"/>
        <v>WR</v>
      </c>
      <c r="R8" s="26" t="str">
        <f t="shared" si="2"/>
        <v>Lv 3</v>
      </c>
      <c r="S8" s="26" t="str">
        <f t="shared" si="3"/>
        <v>Lv 2</v>
      </c>
      <c r="T8" s="84" t="str">
        <f t="shared" si="6"/>
        <v>K-NX-WR-Lv 3-Lv 2</v>
      </c>
      <c r="U8" s="137" t="str">
        <f t="shared" si="7"/>
        <v>PKT</v>
      </c>
      <c r="V8" s="137" t="str">
        <f t="shared" si="8"/>
        <v>REG</v>
      </c>
      <c r="W8" s="138" t="str">
        <f t="shared" ref="W8:W39" si="10">IF(M8="O", _xlfn.TEXTJOIN("-", TRUE, U8:V8), "")</f>
        <v>PKT-REG</v>
      </c>
      <c r="X8" s="5" t="str">
        <f t="shared" si="9"/>
        <v>⚠️ [포켓/하중 주의] 얇거나 신축성 있는 원단: 포켓 입구 벌어짐 및 처짐 방지 공정 필수</v>
      </c>
      <c r="Y8" s="88" t="s">
        <v>1296</v>
      </c>
      <c r="Z8" s="88"/>
    </row>
    <row r="9" spans="1:26" s="4" customFormat="1" ht="121.5" customHeight="1">
      <c r="A9" s="91" t="s">
        <v>850</v>
      </c>
      <c r="B9" s="91" t="s">
        <v>851</v>
      </c>
      <c r="C9" s="91" t="s">
        <v>429</v>
      </c>
      <c r="D9" s="91" t="s">
        <v>874</v>
      </c>
      <c r="E9" s="91" t="s">
        <v>535</v>
      </c>
      <c r="F9" s="91" t="s">
        <v>429</v>
      </c>
      <c r="G9" s="91" t="s">
        <v>875</v>
      </c>
      <c r="H9" s="91" t="s">
        <v>876</v>
      </c>
      <c r="I9" s="91" t="s">
        <v>141</v>
      </c>
      <c r="J9" s="91">
        <v>285</v>
      </c>
      <c r="K9" s="91" t="s">
        <v>430</v>
      </c>
      <c r="L9" s="91" t="s">
        <v>431</v>
      </c>
      <c r="M9" s="91" t="s">
        <v>23</v>
      </c>
      <c r="N9" s="91"/>
      <c r="O9" s="91" t="str">
        <f t="shared" si="5"/>
        <v>K</v>
      </c>
      <c r="P9" s="26" t="str">
        <f t="shared" si="0"/>
        <v>CX</v>
      </c>
      <c r="Q9" s="26" t="str">
        <f t="shared" si="1"/>
        <v>ST</v>
      </c>
      <c r="R9" s="26" t="str">
        <f t="shared" si="2"/>
        <v>Lv 3</v>
      </c>
      <c r="S9" s="26" t="str">
        <f t="shared" si="3"/>
        <v>Lv 4</v>
      </c>
      <c r="T9" s="84" t="str">
        <f t="shared" si="6"/>
        <v/>
      </c>
      <c r="U9" s="137" t="str">
        <f t="shared" si="7"/>
        <v>DTL</v>
      </c>
      <c r="V9" s="137" t="str">
        <f t="shared" si="8"/>
        <v>PLK</v>
      </c>
      <c r="W9" s="138" t="str">
        <f t="shared" si="10"/>
        <v/>
      </c>
      <c r="X9" s="5" t="str">
        <f t="shared" si="9"/>
        <v/>
      </c>
      <c r="Y9" s="88"/>
      <c r="Z9" s="88"/>
    </row>
    <row r="10" spans="1:26" s="4" customFormat="1" ht="121.5" customHeight="1">
      <c r="A10" s="91" t="s">
        <v>850</v>
      </c>
      <c r="B10" s="91" t="s">
        <v>851</v>
      </c>
      <c r="C10" s="91" t="s">
        <v>432</v>
      </c>
      <c r="D10" s="91" t="s">
        <v>877</v>
      </c>
      <c r="E10" s="91" t="s">
        <v>42</v>
      </c>
      <c r="F10" s="91" t="s">
        <v>43</v>
      </c>
      <c r="G10" s="91" t="s">
        <v>44</v>
      </c>
      <c r="H10" s="91" t="s">
        <v>45</v>
      </c>
      <c r="I10" s="91" t="s">
        <v>46</v>
      </c>
      <c r="J10" s="91">
        <v>310</v>
      </c>
      <c r="K10" s="21" t="s">
        <v>416</v>
      </c>
      <c r="L10" s="91" t="s">
        <v>417</v>
      </c>
      <c r="M10" s="91" t="s">
        <v>23</v>
      </c>
      <c r="N10" s="91"/>
      <c r="O10" s="91" t="str">
        <f t="shared" si="5"/>
        <v>K</v>
      </c>
      <c r="P10" s="26" t="str">
        <f t="shared" si="0"/>
        <v>NX</v>
      </c>
      <c r="Q10" s="26" t="str">
        <f t="shared" si="1"/>
        <v>ST</v>
      </c>
      <c r="R10" s="26" t="str">
        <f t="shared" si="2"/>
        <v>Lv 3</v>
      </c>
      <c r="S10" s="26" t="str">
        <f t="shared" si="3"/>
        <v>Lv 4</v>
      </c>
      <c r="T10" s="84" t="str">
        <f t="shared" si="6"/>
        <v/>
      </c>
      <c r="U10" s="137" t="str">
        <f t="shared" si="7"/>
        <v>NK</v>
      </c>
      <c r="V10" s="137" t="str">
        <f t="shared" si="8"/>
        <v>SELF</v>
      </c>
      <c r="W10" s="138" t="str">
        <f t="shared" si="10"/>
        <v/>
      </c>
      <c r="X10" s="5" t="str">
        <f t="shared" si="9"/>
        <v/>
      </c>
      <c r="Y10" s="88"/>
      <c r="Z10" s="88"/>
    </row>
    <row r="11" spans="1:26" s="4" customFormat="1" ht="121.5" customHeight="1">
      <c r="A11" s="91" t="s">
        <v>850</v>
      </c>
      <c r="B11" s="91" t="s">
        <v>851</v>
      </c>
      <c r="C11" s="91" t="s">
        <v>432</v>
      </c>
      <c r="D11" s="91" t="s">
        <v>877</v>
      </c>
      <c r="E11" s="91" t="s">
        <v>878</v>
      </c>
      <c r="F11" s="91" t="s">
        <v>43</v>
      </c>
      <c r="G11" s="91" t="s">
        <v>879</v>
      </c>
      <c r="H11" s="91" t="s">
        <v>880</v>
      </c>
      <c r="I11" s="91" t="s">
        <v>881</v>
      </c>
      <c r="J11" s="91">
        <v>220</v>
      </c>
      <c r="K11" s="91" t="s">
        <v>425</v>
      </c>
      <c r="L11" s="21" t="s">
        <v>433</v>
      </c>
      <c r="M11" s="21" t="s">
        <v>23</v>
      </c>
      <c r="N11" s="91"/>
      <c r="O11" s="91" t="str">
        <f t="shared" si="5"/>
        <v>K</v>
      </c>
      <c r="P11" s="26" t="str">
        <f t="shared" si="0"/>
        <v>NX</v>
      </c>
      <c r="Q11" s="26" t="str">
        <f t="shared" si="1"/>
        <v>AF</v>
      </c>
      <c r="R11" s="26" t="str">
        <f t="shared" si="2"/>
        <v>Lv 1</v>
      </c>
      <c r="S11" s="26" t="str">
        <f t="shared" si="3"/>
        <v>Lv 3</v>
      </c>
      <c r="T11" s="84" t="str">
        <f t="shared" si="6"/>
        <v/>
      </c>
      <c r="U11" s="137" t="str">
        <f t="shared" si="7"/>
        <v>ST</v>
      </c>
      <c r="V11" s="137" t="str">
        <f t="shared" si="8"/>
        <v>FL</v>
      </c>
      <c r="W11" s="138" t="str">
        <f t="shared" si="10"/>
        <v/>
      </c>
      <c r="X11" s="5" t="str">
        <f t="shared" si="9"/>
        <v/>
      </c>
      <c r="Y11" s="88"/>
      <c r="Z11" s="88"/>
    </row>
    <row r="12" spans="1:26" s="4" customFormat="1" ht="121.5" customHeight="1">
      <c r="A12" s="91" t="s">
        <v>850</v>
      </c>
      <c r="B12" s="91" t="s">
        <v>851</v>
      </c>
      <c r="C12" s="91" t="s">
        <v>432</v>
      </c>
      <c r="D12" s="91" t="s">
        <v>877</v>
      </c>
      <c r="E12" s="91" t="s">
        <v>882</v>
      </c>
      <c r="F12" s="91" t="s">
        <v>19</v>
      </c>
      <c r="G12" s="91" t="s">
        <v>883</v>
      </c>
      <c r="H12" s="91" t="s">
        <v>884</v>
      </c>
      <c r="I12" s="91" t="s">
        <v>22</v>
      </c>
      <c r="J12" s="91">
        <v>215</v>
      </c>
      <c r="K12" s="91" t="s">
        <v>885</v>
      </c>
      <c r="L12" s="21" t="s">
        <v>451</v>
      </c>
      <c r="M12" s="21" t="s">
        <v>23</v>
      </c>
      <c r="N12" s="91"/>
      <c r="O12" s="91" t="str">
        <f t="shared" si="5"/>
        <v>K</v>
      </c>
      <c r="P12" s="26" t="str">
        <f t="shared" si="0"/>
        <v>NX</v>
      </c>
      <c r="Q12" s="26" t="str">
        <f t="shared" si="1"/>
        <v>AF</v>
      </c>
      <c r="R12" s="26" t="str">
        <f t="shared" si="2"/>
        <v>Lv 3</v>
      </c>
      <c r="S12" s="26" t="str">
        <f t="shared" si="3"/>
        <v>Lv 3</v>
      </c>
      <c r="T12" s="84" t="str">
        <f t="shared" si="6"/>
        <v/>
      </c>
      <c r="U12" s="137" t="str">
        <f t="shared" si="7"/>
        <v>PKT</v>
      </c>
      <c r="V12" s="137" t="str">
        <f t="shared" si="8"/>
        <v>REG</v>
      </c>
      <c r="W12" s="138" t="str">
        <f t="shared" si="10"/>
        <v/>
      </c>
      <c r="X12" s="5" t="str">
        <f t="shared" si="9"/>
        <v/>
      </c>
      <c r="Y12" s="88"/>
      <c r="Z12" s="88"/>
    </row>
    <row r="13" spans="1:26" s="4" customFormat="1" ht="121.5" customHeight="1">
      <c r="A13" s="91" t="s">
        <v>850</v>
      </c>
      <c r="B13" s="91" t="s">
        <v>851</v>
      </c>
      <c r="C13" s="91" t="s">
        <v>432</v>
      </c>
      <c r="D13" s="91" t="s">
        <v>877</v>
      </c>
      <c r="E13" s="91" t="s">
        <v>886</v>
      </c>
      <c r="F13" s="91" t="s">
        <v>19</v>
      </c>
      <c r="G13" s="91" t="s">
        <v>491</v>
      </c>
      <c r="H13" s="91" t="s">
        <v>492</v>
      </c>
      <c r="I13" s="91" t="s">
        <v>22</v>
      </c>
      <c r="J13" s="91">
        <v>300</v>
      </c>
      <c r="K13" s="91" t="s">
        <v>887</v>
      </c>
      <c r="L13" s="91" t="s">
        <v>435</v>
      </c>
      <c r="M13" s="91" t="s">
        <v>23</v>
      </c>
      <c r="N13" s="91"/>
      <c r="O13" s="91" t="str">
        <f t="shared" si="5"/>
        <v>K</v>
      </c>
      <c r="P13" s="26" t="str">
        <f t="shared" si="0"/>
        <v>CS</v>
      </c>
      <c r="Q13" s="26" t="str">
        <f t="shared" si="1"/>
        <v>AF</v>
      </c>
      <c r="R13" s="26" t="str">
        <f t="shared" si="2"/>
        <v>Lv 2</v>
      </c>
      <c r="S13" s="26" t="str">
        <f t="shared" si="3"/>
        <v>Lv 4</v>
      </c>
      <c r="T13" s="84" t="str">
        <f t="shared" si="6"/>
        <v/>
      </c>
      <c r="U13" s="137" t="str">
        <f t="shared" si="7"/>
        <v>PKT</v>
      </c>
      <c r="V13" s="137" t="str">
        <f t="shared" si="8"/>
        <v>REG</v>
      </c>
      <c r="W13" s="138" t="str">
        <f t="shared" si="10"/>
        <v/>
      </c>
      <c r="X13" s="5" t="str">
        <f t="shared" si="9"/>
        <v/>
      </c>
      <c r="Y13" s="88"/>
      <c r="Z13" s="88"/>
    </row>
    <row r="14" spans="1:26" s="4" customFormat="1" ht="121.5" customHeight="1">
      <c r="A14" s="91" t="s">
        <v>850</v>
      </c>
      <c r="B14" s="91" t="s">
        <v>851</v>
      </c>
      <c r="C14" s="91" t="s">
        <v>432</v>
      </c>
      <c r="D14" s="91" t="s">
        <v>877</v>
      </c>
      <c r="E14" s="91" t="s">
        <v>888</v>
      </c>
      <c r="F14" s="91" t="s">
        <v>19</v>
      </c>
      <c r="G14" s="91" t="s">
        <v>491</v>
      </c>
      <c r="H14" s="91" t="s">
        <v>492</v>
      </c>
      <c r="I14" s="91" t="s">
        <v>22</v>
      </c>
      <c r="J14" s="91">
        <v>300</v>
      </c>
      <c r="K14" s="91" t="s">
        <v>436</v>
      </c>
      <c r="L14" s="91" t="s">
        <v>437</v>
      </c>
      <c r="M14" s="91" t="s">
        <v>23</v>
      </c>
      <c r="N14" s="91"/>
      <c r="O14" s="91" t="str">
        <f t="shared" si="5"/>
        <v>K</v>
      </c>
      <c r="P14" s="26" t="str">
        <f t="shared" si="0"/>
        <v>CS</v>
      </c>
      <c r="Q14" s="26" t="str">
        <f t="shared" si="1"/>
        <v>AF</v>
      </c>
      <c r="R14" s="26" t="str">
        <f t="shared" si="2"/>
        <v>Lv 2</v>
      </c>
      <c r="S14" s="26" t="str">
        <f t="shared" si="3"/>
        <v>Lv 4</v>
      </c>
      <c r="T14" s="84" t="str">
        <f t="shared" si="6"/>
        <v/>
      </c>
      <c r="U14" s="137" t="str">
        <f t="shared" si="7"/>
        <v>PKT</v>
      </c>
      <c r="V14" s="137" t="str">
        <f t="shared" si="8"/>
        <v>CGO</v>
      </c>
      <c r="W14" s="138" t="str">
        <f t="shared" si="10"/>
        <v/>
      </c>
      <c r="X14" s="5" t="str">
        <f t="shared" si="9"/>
        <v/>
      </c>
      <c r="Y14" s="88"/>
      <c r="Z14" s="88"/>
    </row>
    <row r="15" spans="1:26" s="4" customFormat="1" ht="121.5" customHeight="1">
      <c r="A15" s="91" t="s">
        <v>850</v>
      </c>
      <c r="B15" s="91" t="s">
        <v>851</v>
      </c>
      <c r="C15" s="91" t="s">
        <v>432</v>
      </c>
      <c r="D15" s="21" t="s">
        <v>877</v>
      </c>
      <c r="E15" s="91" t="s">
        <v>889</v>
      </c>
      <c r="F15" s="91" t="s">
        <v>119</v>
      </c>
      <c r="G15" s="91" t="s">
        <v>438</v>
      </c>
      <c r="H15" s="91" t="s">
        <v>439</v>
      </c>
      <c r="I15" s="91" t="s">
        <v>440</v>
      </c>
      <c r="J15" s="91">
        <v>240</v>
      </c>
      <c r="K15" s="91" t="s">
        <v>441</v>
      </c>
      <c r="L15" s="91" t="s">
        <v>442</v>
      </c>
      <c r="M15" s="91" t="s">
        <v>23</v>
      </c>
      <c r="N15" s="91"/>
      <c r="O15" s="91" t="str">
        <f t="shared" si="5"/>
        <v>K</v>
      </c>
      <c r="P15" s="26" t="str">
        <f t="shared" si="0"/>
        <v>CX</v>
      </c>
      <c r="Q15" s="26" t="str">
        <f t="shared" si="1"/>
        <v>AF</v>
      </c>
      <c r="R15" s="26" t="str">
        <f t="shared" si="2"/>
        <v>Lv 3</v>
      </c>
      <c r="S15" s="26" t="str">
        <f t="shared" si="3"/>
        <v>Lv 3</v>
      </c>
      <c r="T15" s="84" t="str">
        <f t="shared" si="6"/>
        <v/>
      </c>
      <c r="U15" s="137" t="str">
        <f t="shared" si="7"/>
        <v>ETC</v>
      </c>
      <c r="V15" s="137" t="str">
        <f t="shared" si="8"/>
        <v>REG</v>
      </c>
      <c r="W15" s="138" t="str">
        <f t="shared" si="10"/>
        <v/>
      </c>
      <c r="X15" s="5" t="str">
        <f t="shared" si="9"/>
        <v/>
      </c>
      <c r="Y15" s="88"/>
      <c r="Z15" s="88"/>
    </row>
    <row r="16" spans="1:26" s="4" customFormat="1" ht="73.5" customHeight="1">
      <c r="A16" s="159" t="s">
        <v>850</v>
      </c>
      <c r="B16" s="159" t="s">
        <v>861</v>
      </c>
      <c r="C16" s="159" t="s">
        <v>443</v>
      </c>
      <c r="D16" s="159" t="s">
        <v>890</v>
      </c>
      <c r="E16" s="159" t="s">
        <v>59</v>
      </c>
      <c r="F16" s="159" t="s">
        <v>60</v>
      </c>
      <c r="G16" s="159" t="s">
        <v>61</v>
      </c>
      <c r="H16" s="159" t="s">
        <v>62</v>
      </c>
      <c r="I16" s="159" t="s">
        <v>35</v>
      </c>
      <c r="J16" s="159">
        <v>150</v>
      </c>
      <c r="K16" s="157" t="s">
        <v>891</v>
      </c>
      <c r="L16" s="157" t="s">
        <v>892</v>
      </c>
      <c r="M16" s="157" t="s">
        <v>36</v>
      </c>
      <c r="N16" s="99" t="s">
        <v>893</v>
      </c>
      <c r="O16" s="91" t="str">
        <f t="shared" si="5"/>
        <v>W</v>
      </c>
      <c r="P16" s="26" t="str">
        <f t="shared" si="0"/>
        <v>NX</v>
      </c>
      <c r="Q16" s="26" t="str">
        <f t="shared" si="1"/>
        <v>WR</v>
      </c>
      <c r="R16" s="26" t="str">
        <f t="shared" si="2"/>
        <v>Lv 3</v>
      </c>
      <c r="S16" s="26" t="str">
        <f t="shared" si="3"/>
        <v>Lv 2</v>
      </c>
      <c r="T16" s="84" t="str">
        <f t="shared" si="6"/>
        <v>W-NX-WR-Lv 3-Lv 2</v>
      </c>
      <c r="U16" s="137" t="str">
        <f t="shared" si="7"/>
        <v>ETC</v>
      </c>
      <c r="V16" s="137" t="str">
        <f t="shared" si="8"/>
        <v>FLP</v>
      </c>
      <c r="W16" s="138" t="str">
        <f t="shared" si="10"/>
        <v>ETC-FLP</v>
      </c>
      <c r="X16" s="5" t="str">
        <f t="shared" si="9"/>
        <v>⚠️ [포켓/하중 주의] 얇거나 신축성 있는 원단: 포켓 입구 벌어짐 및 처짐 방지 공정 필수</v>
      </c>
      <c r="Y16" s="88"/>
      <c r="Z16" s="88"/>
    </row>
    <row r="17" spans="1:26" s="4" customFormat="1" ht="121.5" customHeight="1">
      <c r="A17" s="160"/>
      <c r="B17" s="160"/>
      <c r="C17" s="160"/>
      <c r="D17" s="160"/>
      <c r="E17" s="160"/>
      <c r="F17" s="160"/>
      <c r="G17" s="160"/>
      <c r="H17" s="160"/>
      <c r="I17" s="160"/>
      <c r="J17" s="160"/>
      <c r="K17" s="158"/>
      <c r="L17" s="158"/>
      <c r="M17" s="158"/>
      <c r="N17" s="30" t="s">
        <v>894</v>
      </c>
      <c r="O17" s="91" t="e">
        <f t="shared" si="5"/>
        <v>#N/A</v>
      </c>
      <c r="P17" s="26" t="str">
        <f t="shared" si="0"/>
        <v/>
      </c>
      <c r="Q17" s="26" t="str">
        <f t="shared" si="1"/>
        <v>ST</v>
      </c>
      <c r="R17" s="26" t="str">
        <f t="shared" si="2"/>
        <v/>
      </c>
      <c r="S17" s="26" t="str">
        <f t="shared" si="3"/>
        <v/>
      </c>
      <c r="T17" s="84" t="str">
        <f t="shared" si="6"/>
        <v/>
      </c>
      <c r="U17" s="137" t="str">
        <f t="shared" si="7"/>
        <v>ETC</v>
      </c>
      <c r="V17" s="137" t="str">
        <f t="shared" si="8"/>
        <v>REG</v>
      </c>
      <c r="W17" s="138" t="str">
        <f t="shared" si="10"/>
        <v/>
      </c>
      <c r="X17" s="5" t="str">
        <f t="shared" si="9"/>
        <v/>
      </c>
      <c r="Y17" s="88"/>
      <c r="Z17" s="88"/>
    </row>
    <row r="18" spans="1:26" s="4" customFormat="1" ht="121.5" customHeight="1">
      <c r="A18" s="91" t="s">
        <v>850</v>
      </c>
      <c r="B18" s="91" t="s">
        <v>861</v>
      </c>
      <c r="C18" s="91" t="s">
        <v>443</v>
      </c>
      <c r="D18" s="91" t="s">
        <v>890</v>
      </c>
      <c r="E18" s="91" t="s">
        <v>59</v>
      </c>
      <c r="F18" s="91" t="s">
        <v>60</v>
      </c>
      <c r="G18" s="91" t="s">
        <v>61</v>
      </c>
      <c r="H18" s="91" t="s">
        <v>62</v>
      </c>
      <c r="I18" s="91" t="s">
        <v>35</v>
      </c>
      <c r="J18" s="91">
        <v>150</v>
      </c>
      <c r="K18" s="21" t="s">
        <v>450</v>
      </c>
      <c r="L18" s="21" t="s">
        <v>895</v>
      </c>
      <c r="M18" s="21" t="s">
        <v>23</v>
      </c>
      <c r="N18" s="91"/>
      <c r="O18" s="91" t="str">
        <f t="shared" si="5"/>
        <v>W</v>
      </c>
      <c r="P18" s="26" t="str">
        <f t="shared" si="0"/>
        <v>NX</v>
      </c>
      <c r="Q18" s="26" t="str">
        <f t="shared" si="1"/>
        <v>WR</v>
      </c>
      <c r="R18" s="26" t="str">
        <f t="shared" si="2"/>
        <v>Lv 3</v>
      </c>
      <c r="S18" s="26" t="str">
        <f t="shared" si="3"/>
        <v>Lv 2</v>
      </c>
      <c r="T18" s="84" t="str">
        <f t="shared" si="6"/>
        <v/>
      </c>
      <c r="U18" s="137" t="str">
        <f t="shared" si="7"/>
        <v>ETC</v>
      </c>
      <c r="V18" s="137" t="str">
        <f t="shared" si="8"/>
        <v>FLP</v>
      </c>
      <c r="W18" s="138" t="str">
        <f t="shared" si="10"/>
        <v/>
      </c>
      <c r="X18" s="5" t="str">
        <f t="shared" si="9"/>
        <v/>
      </c>
      <c r="Y18" s="88"/>
      <c r="Z18" s="88"/>
    </row>
    <row r="19" spans="1:26" s="4" customFormat="1" ht="73.5" customHeight="1">
      <c r="A19" s="91" t="s">
        <v>850</v>
      </c>
      <c r="B19" s="91" t="s">
        <v>861</v>
      </c>
      <c r="C19" s="91" t="s">
        <v>443</v>
      </c>
      <c r="D19" s="91" t="s">
        <v>896</v>
      </c>
      <c r="E19" s="91" t="s">
        <v>897</v>
      </c>
      <c r="F19" s="91" t="s">
        <v>443</v>
      </c>
      <c r="G19" s="91" t="s">
        <v>898</v>
      </c>
      <c r="H19" s="91" t="s">
        <v>273</v>
      </c>
      <c r="I19" s="91" t="s">
        <v>899</v>
      </c>
      <c r="J19" s="91">
        <v>385</v>
      </c>
      <c r="K19" s="21" t="s">
        <v>416</v>
      </c>
      <c r="L19" s="91" t="s">
        <v>417</v>
      </c>
      <c r="M19" s="91" t="s">
        <v>23</v>
      </c>
      <c r="N19" s="91"/>
      <c r="O19" s="91" t="str">
        <f t="shared" si="5"/>
        <v>W</v>
      </c>
      <c r="P19" s="26" t="str">
        <f t="shared" si="0"/>
        <v>S</v>
      </c>
      <c r="Q19" s="26" t="str">
        <f t="shared" si="1"/>
        <v>WP</v>
      </c>
      <c r="R19" s="26" t="str">
        <f t="shared" si="2"/>
        <v>Lv 4</v>
      </c>
      <c r="S19" s="26" t="str">
        <f t="shared" si="3"/>
        <v>Lv 5</v>
      </c>
      <c r="T19" s="84" t="str">
        <f t="shared" si="6"/>
        <v/>
      </c>
      <c r="U19" s="137" t="str">
        <f t="shared" si="7"/>
        <v>NK</v>
      </c>
      <c r="V19" s="137" t="str">
        <f t="shared" si="8"/>
        <v>SELF</v>
      </c>
      <c r="W19" s="138" t="str">
        <f t="shared" si="10"/>
        <v/>
      </c>
      <c r="X19" s="5" t="str">
        <f t="shared" si="9"/>
        <v/>
      </c>
      <c r="Y19" s="88"/>
      <c r="Z19" s="88"/>
    </row>
    <row r="20" spans="1:26" s="4" customFormat="1" ht="72.75" customHeight="1">
      <c r="A20" s="91" t="s">
        <v>850</v>
      </c>
      <c r="B20" s="91" t="s">
        <v>861</v>
      </c>
      <c r="C20" s="91" t="s">
        <v>443</v>
      </c>
      <c r="D20" s="91" t="s">
        <v>890</v>
      </c>
      <c r="E20" s="91" t="s">
        <v>900</v>
      </c>
      <c r="F20" s="91" t="s">
        <v>32</v>
      </c>
      <c r="G20" s="91" t="s">
        <v>33</v>
      </c>
      <c r="H20" s="91" t="s">
        <v>34</v>
      </c>
      <c r="I20" s="91" t="s">
        <v>35</v>
      </c>
      <c r="J20" s="91">
        <v>96</v>
      </c>
      <c r="K20" s="91" t="s">
        <v>434</v>
      </c>
      <c r="L20" s="91" t="s">
        <v>444</v>
      </c>
      <c r="M20" s="91" t="s">
        <v>23</v>
      </c>
      <c r="N20" s="21"/>
      <c r="O20" s="91" t="str">
        <f t="shared" si="5"/>
        <v>W</v>
      </c>
      <c r="P20" s="26" t="str">
        <f t="shared" si="0"/>
        <v>NX</v>
      </c>
      <c r="Q20" s="26" t="str">
        <f t="shared" si="1"/>
        <v>WR</v>
      </c>
      <c r="R20" s="26" t="str">
        <f t="shared" si="2"/>
        <v>Lv 3</v>
      </c>
      <c r="S20" s="26" t="str">
        <f t="shared" si="3"/>
        <v>Lv 2</v>
      </c>
      <c r="T20" s="84" t="str">
        <f t="shared" si="6"/>
        <v/>
      </c>
      <c r="U20" s="137" t="str">
        <f t="shared" si="7"/>
        <v>ETC</v>
      </c>
      <c r="V20" s="137" t="str">
        <f t="shared" si="8"/>
        <v>WLT</v>
      </c>
      <c r="W20" s="138" t="str">
        <f t="shared" si="10"/>
        <v/>
      </c>
      <c r="X20" s="5" t="str">
        <f t="shared" si="9"/>
        <v/>
      </c>
      <c r="Y20" s="88"/>
      <c r="Z20" s="88"/>
    </row>
    <row r="21" spans="1:26" s="4" customFormat="1" ht="72.75" customHeight="1">
      <c r="A21" s="91" t="s">
        <v>850</v>
      </c>
      <c r="B21" s="91" t="s">
        <v>861</v>
      </c>
      <c r="C21" s="91" t="s">
        <v>443</v>
      </c>
      <c r="D21" s="91" t="s">
        <v>901</v>
      </c>
      <c r="E21" s="91" t="s">
        <v>902</v>
      </c>
      <c r="F21" s="91" t="s">
        <v>445</v>
      </c>
      <c r="G21" s="91" t="s">
        <v>446</v>
      </c>
      <c r="H21" s="91" t="s">
        <v>447</v>
      </c>
      <c r="I21" s="91" t="s">
        <v>35</v>
      </c>
      <c r="J21" s="91">
        <v>134</v>
      </c>
      <c r="K21" s="91" t="s">
        <v>903</v>
      </c>
      <c r="L21" s="91" t="s">
        <v>904</v>
      </c>
      <c r="M21" s="91" t="s">
        <v>23</v>
      </c>
      <c r="N21" s="91"/>
      <c r="O21" s="91" t="str">
        <f t="shared" si="5"/>
        <v>W</v>
      </c>
      <c r="P21" s="26" t="str">
        <f t="shared" si="0"/>
        <v>NX</v>
      </c>
      <c r="Q21" s="26" t="str">
        <f t="shared" si="1"/>
        <v>WR</v>
      </c>
      <c r="R21" s="26" t="str">
        <f t="shared" si="2"/>
        <v>Lv 3</v>
      </c>
      <c r="S21" s="26" t="str">
        <f t="shared" si="3"/>
        <v>Lv 2</v>
      </c>
      <c r="T21" s="84" t="str">
        <f t="shared" si="6"/>
        <v/>
      </c>
      <c r="U21" s="137" t="str">
        <f t="shared" si="7"/>
        <v>NK</v>
      </c>
      <c r="V21" s="137" t="str">
        <f t="shared" si="8"/>
        <v>SELF</v>
      </c>
      <c r="W21" s="138" t="str">
        <f t="shared" si="10"/>
        <v/>
      </c>
      <c r="X21" s="5" t="str">
        <f t="shared" si="9"/>
        <v/>
      </c>
      <c r="Y21" s="88"/>
      <c r="Z21" s="88"/>
    </row>
    <row r="22" spans="1:26" s="4" customFormat="1" ht="72.75" customHeight="1">
      <c r="A22" s="91" t="s">
        <v>850</v>
      </c>
      <c r="B22" s="91" t="s">
        <v>861</v>
      </c>
      <c r="C22" s="91" t="s">
        <v>448</v>
      </c>
      <c r="D22" s="91" t="s">
        <v>905</v>
      </c>
      <c r="E22" s="91" t="s">
        <v>906</v>
      </c>
      <c r="F22" s="91" t="s">
        <v>68</v>
      </c>
      <c r="G22" s="91" t="s">
        <v>907</v>
      </c>
      <c r="H22" s="91" t="s">
        <v>70</v>
      </c>
      <c r="I22" s="91" t="s">
        <v>908</v>
      </c>
      <c r="J22" s="91">
        <v>138</v>
      </c>
      <c r="K22" s="91" t="s">
        <v>430</v>
      </c>
      <c r="L22" s="91" t="s">
        <v>449</v>
      </c>
      <c r="M22" s="91" t="s">
        <v>23</v>
      </c>
      <c r="N22" s="21"/>
      <c r="O22" s="91" t="str">
        <f t="shared" si="5"/>
        <v>W</v>
      </c>
      <c r="P22" s="26" t="str">
        <f t="shared" si="0"/>
        <v>N</v>
      </c>
      <c r="Q22" s="26" t="str">
        <f t="shared" si="1"/>
        <v>WP</v>
      </c>
      <c r="R22" s="26" t="str">
        <f t="shared" si="2"/>
        <v>Lv 1</v>
      </c>
      <c r="S22" s="26" t="str">
        <f t="shared" si="3"/>
        <v>Lv 2</v>
      </c>
      <c r="T22" s="84" t="str">
        <f t="shared" si="6"/>
        <v/>
      </c>
      <c r="U22" s="137" t="str">
        <f t="shared" si="7"/>
        <v>DTL</v>
      </c>
      <c r="V22" s="137" t="str">
        <f t="shared" si="8"/>
        <v>PLK</v>
      </c>
      <c r="W22" s="138" t="str">
        <f t="shared" si="10"/>
        <v/>
      </c>
      <c r="X22" s="5" t="str">
        <f t="shared" si="9"/>
        <v/>
      </c>
      <c r="Y22" s="88"/>
      <c r="Z22" s="88"/>
    </row>
    <row r="23" spans="1:26" s="4" customFormat="1" ht="72.75" customHeight="1">
      <c r="A23" s="91" t="s">
        <v>850</v>
      </c>
      <c r="B23" s="91" t="s">
        <v>861</v>
      </c>
      <c r="C23" s="91" t="s">
        <v>448</v>
      </c>
      <c r="D23" s="91" t="s">
        <v>224</v>
      </c>
      <c r="E23" s="91" t="s">
        <v>909</v>
      </c>
      <c r="F23" s="91" t="s">
        <v>68</v>
      </c>
      <c r="G23" s="91" t="s">
        <v>910</v>
      </c>
      <c r="H23" s="91" t="s">
        <v>70</v>
      </c>
      <c r="I23" s="91" t="s">
        <v>911</v>
      </c>
      <c r="J23" s="91">
        <v>70</v>
      </c>
      <c r="K23" s="91" t="s">
        <v>434</v>
      </c>
      <c r="L23" s="91" t="s">
        <v>444</v>
      </c>
      <c r="M23" s="91" t="s">
        <v>23</v>
      </c>
      <c r="N23" s="21"/>
      <c r="O23" s="91" t="str">
        <f t="shared" si="5"/>
        <v>W</v>
      </c>
      <c r="P23" s="26" t="str">
        <f t="shared" si="0"/>
        <v>N</v>
      </c>
      <c r="Q23" s="26" t="str">
        <f t="shared" si="1"/>
        <v>WR</v>
      </c>
      <c r="R23" s="26" t="str">
        <f t="shared" si="2"/>
        <v>Lv 1</v>
      </c>
      <c r="S23" s="26" t="str">
        <f t="shared" si="3"/>
        <v>Lv 1</v>
      </c>
      <c r="T23" s="84" t="str">
        <f t="shared" si="6"/>
        <v/>
      </c>
      <c r="U23" s="137" t="str">
        <f t="shared" si="7"/>
        <v>ETC</v>
      </c>
      <c r="V23" s="137" t="str">
        <f t="shared" si="8"/>
        <v>WLT</v>
      </c>
      <c r="W23" s="138" t="str">
        <f t="shared" si="10"/>
        <v/>
      </c>
      <c r="X23" s="5" t="str">
        <f t="shared" si="9"/>
        <v/>
      </c>
      <c r="Y23" s="88"/>
      <c r="Z23" s="88"/>
    </row>
    <row r="24" spans="1:26" s="4" customFormat="1" ht="94.5" customHeight="1">
      <c r="A24" s="91" t="s">
        <v>850</v>
      </c>
      <c r="B24" s="91" t="s">
        <v>861</v>
      </c>
      <c r="C24" s="91" t="s">
        <v>448</v>
      </c>
      <c r="D24" s="91" t="s">
        <v>224</v>
      </c>
      <c r="E24" s="91" t="s">
        <v>67</v>
      </c>
      <c r="F24" s="91" t="s">
        <v>68</v>
      </c>
      <c r="G24" s="91" t="s">
        <v>69</v>
      </c>
      <c r="H24" s="91" t="s">
        <v>70</v>
      </c>
      <c r="I24" s="91" t="s">
        <v>71</v>
      </c>
      <c r="J24" s="91">
        <v>142</v>
      </c>
      <c r="K24" s="91" t="s">
        <v>450</v>
      </c>
      <c r="L24" s="21" t="s">
        <v>451</v>
      </c>
      <c r="M24" s="21" t="s">
        <v>23</v>
      </c>
      <c r="N24" s="21"/>
      <c r="O24" s="91" t="str">
        <f t="shared" si="5"/>
        <v>W</v>
      </c>
      <c r="P24" s="26" t="str">
        <f t="shared" si="0"/>
        <v>N</v>
      </c>
      <c r="Q24" s="26" t="str">
        <f t="shared" si="1"/>
        <v>AF</v>
      </c>
      <c r="R24" s="26" t="str">
        <f t="shared" si="2"/>
        <v>Lv 1</v>
      </c>
      <c r="S24" s="26" t="str">
        <f t="shared" si="3"/>
        <v>Lv 2</v>
      </c>
      <c r="T24" s="84" t="str">
        <f t="shared" si="6"/>
        <v/>
      </c>
      <c r="U24" s="137" t="str">
        <f t="shared" si="7"/>
        <v>ETC</v>
      </c>
      <c r="V24" s="137" t="str">
        <f t="shared" si="8"/>
        <v>FLP</v>
      </c>
      <c r="W24" s="138" t="str">
        <f t="shared" si="10"/>
        <v/>
      </c>
      <c r="X24" s="5" t="str">
        <f t="shared" si="9"/>
        <v/>
      </c>
      <c r="Y24" s="88"/>
      <c r="Z24" s="88"/>
    </row>
    <row r="25" spans="1:26" s="4" customFormat="1" ht="94.5" customHeight="1">
      <c r="A25" s="91" t="s">
        <v>850</v>
      </c>
      <c r="B25" s="91" t="s">
        <v>861</v>
      </c>
      <c r="C25" s="91" t="s">
        <v>448</v>
      </c>
      <c r="D25" s="91" t="s">
        <v>363</v>
      </c>
      <c r="E25" s="91" t="s">
        <v>912</v>
      </c>
      <c r="F25" s="91" t="s">
        <v>161</v>
      </c>
      <c r="G25" s="91" t="s">
        <v>913</v>
      </c>
      <c r="H25" s="91" t="s">
        <v>70</v>
      </c>
      <c r="I25" s="91" t="s">
        <v>914</v>
      </c>
      <c r="J25" s="91">
        <v>126</v>
      </c>
      <c r="K25" s="91" t="s">
        <v>915</v>
      </c>
      <c r="L25" s="91" t="s">
        <v>452</v>
      </c>
      <c r="M25" s="91" t="s">
        <v>23</v>
      </c>
      <c r="N25" s="21"/>
      <c r="O25" s="91" t="str">
        <f t="shared" si="5"/>
        <v>W</v>
      </c>
      <c r="P25" s="26" t="str">
        <f t="shared" si="0"/>
        <v>N</v>
      </c>
      <c r="Q25" s="26" t="str">
        <f t="shared" si="1"/>
        <v>WR</v>
      </c>
      <c r="R25" s="26" t="str">
        <f t="shared" si="2"/>
        <v>Lv 1</v>
      </c>
      <c r="S25" s="26" t="str">
        <f t="shared" si="3"/>
        <v>Lv 2</v>
      </c>
      <c r="T25" s="84" t="str">
        <f t="shared" si="6"/>
        <v/>
      </c>
      <c r="U25" s="137" t="str">
        <f t="shared" si="7"/>
        <v>ST</v>
      </c>
      <c r="V25" s="137" t="str">
        <f t="shared" si="8"/>
        <v>QTR</v>
      </c>
      <c r="W25" s="138" t="str">
        <f t="shared" si="10"/>
        <v/>
      </c>
      <c r="X25" s="5" t="str">
        <f t="shared" si="9"/>
        <v/>
      </c>
      <c r="Y25" s="88"/>
      <c r="Z25" s="88"/>
    </row>
    <row r="26" spans="1:26" s="4" customFormat="1" ht="94.5" customHeight="1">
      <c r="A26" s="91" t="s">
        <v>850</v>
      </c>
      <c r="B26" s="91" t="s">
        <v>861</v>
      </c>
      <c r="C26" s="91" t="s">
        <v>453</v>
      </c>
      <c r="D26" s="91" t="s">
        <v>916</v>
      </c>
      <c r="E26" s="91" t="s">
        <v>917</v>
      </c>
      <c r="F26" s="91" t="s">
        <v>173</v>
      </c>
      <c r="G26" s="91" t="s">
        <v>513</v>
      </c>
      <c r="H26" s="91" t="s">
        <v>70</v>
      </c>
      <c r="I26" s="91" t="s">
        <v>514</v>
      </c>
      <c r="J26" s="91">
        <v>158</v>
      </c>
      <c r="K26" s="21" t="s">
        <v>918</v>
      </c>
      <c r="L26" s="91" t="s">
        <v>919</v>
      </c>
      <c r="M26" s="91" t="s">
        <v>36</v>
      </c>
      <c r="N26" s="21" t="s">
        <v>920</v>
      </c>
      <c r="O26" s="91" t="str">
        <f t="shared" si="5"/>
        <v>W</v>
      </c>
      <c r="P26" s="26" t="str">
        <f t="shared" si="0"/>
        <v>N</v>
      </c>
      <c r="Q26" s="26" t="str">
        <f t="shared" si="1"/>
        <v>WR</v>
      </c>
      <c r="R26" s="26" t="str">
        <f t="shared" si="2"/>
        <v>Lv 1</v>
      </c>
      <c r="S26" s="26" t="str">
        <f t="shared" si="3"/>
        <v>Lv 2</v>
      </c>
      <c r="T26" s="84" t="str">
        <f t="shared" si="6"/>
        <v>W-N-WR-Lv 1-Lv 2</v>
      </c>
      <c r="U26" s="137" t="str">
        <f t="shared" si="7"/>
        <v>ETC</v>
      </c>
      <c r="V26" s="137" t="str">
        <f t="shared" si="8"/>
        <v>REG</v>
      </c>
      <c r="W26" s="138" t="str">
        <f t="shared" si="10"/>
        <v>ETC-REG</v>
      </c>
      <c r="X26" s="5" t="str">
        <f t="shared" si="9"/>
        <v>⚠️ [포켓/하중 주의] 얇거나 신축성 있는 원단: 포켓 입구 벌어짐 및 처짐 방지 공정 필수</v>
      </c>
      <c r="Y26" s="88"/>
      <c r="Z26" s="88"/>
    </row>
    <row r="27" spans="1:26" s="4" customFormat="1" ht="94.5" customHeight="1">
      <c r="A27" s="91" t="s">
        <v>850</v>
      </c>
      <c r="B27" s="91" t="s">
        <v>861</v>
      </c>
      <c r="C27" s="91" t="s">
        <v>453</v>
      </c>
      <c r="D27" s="91" t="s">
        <v>916</v>
      </c>
      <c r="E27" s="91" t="s">
        <v>921</v>
      </c>
      <c r="F27" s="91" t="s">
        <v>173</v>
      </c>
      <c r="G27" s="91" t="s">
        <v>485</v>
      </c>
      <c r="H27" s="91" t="s">
        <v>486</v>
      </c>
      <c r="I27" s="91" t="s">
        <v>35</v>
      </c>
      <c r="J27" s="91">
        <v>151</v>
      </c>
      <c r="K27" s="91" t="s">
        <v>436</v>
      </c>
      <c r="L27" s="21" t="s">
        <v>454</v>
      </c>
      <c r="M27" s="21" t="s">
        <v>23</v>
      </c>
      <c r="N27" s="21"/>
      <c r="O27" s="91" t="str">
        <f t="shared" si="5"/>
        <v>W</v>
      </c>
      <c r="P27" s="26" t="str">
        <f t="shared" si="0"/>
        <v>NX</v>
      </c>
      <c r="Q27" s="26" t="str">
        <f t="shared" si="1"/>
        <v>WR</v>
      </c>
      <c r="R27" s="26" t="str">
        <f t="shared" si="2"/>
        <v>Lv 3</v>
      </c>
      <c r="S27" s="26" t="str">
        <f t="shared" si="3"/>
        <v>Lv 2</v>
      </c>
      <c r="T27" s="84" t="str">
        <f t="shared" si="6"/>
        <v/>
      </c>
      <c r="U27" s="137" t="str">
        <f t="shared" si="7"/>
        <v>PKT</v>
      </c>
      <c r="V27" s="137" t="str">
        <f t="shared" si="8"/>
        <v>CGO</v>
      </c>
      <c r="W27" s="138" t="str">
        <f t="shared" si="10"/>
        <v/>
      </c>
      <c r="X27" s="5" t="str">
        <f t="shared" si="9"/>
        <v/>
      </c>
      <c r="Y27" s="88"/>
      <c r="Z27" s="88"/>
    </row>
    <row r="28" spans="1:26" s="4" customFormat="1" ht="94.5" customHeight="1">
      <c r="A28" s="91" t="s">
        <v>850</v>
      </c>
      <c r="B28" s="91" t="s">
        <v>861</v>
      </c>
      <c r="C28" s="91" t="s">
        <v>453</v>
      </c>
      <c r="D28" s="91" t="s">
        <v>916</v>
      </c>
      <c r="E28" s="91" t="s">
        <v>922</v>
      </c>
      <c r="F28" s="91" t="s">
        <v>52</v>
      </c>
      <c r="G28" s="91" t="s">
        <v>494</v>
      </c>
      <c r="H28" s="91" t="s">
        <v>54</v>
      </c>
      <c r="I28" s="91" t="s">
        <v>46</v>
      </c>
      <c r="J28" s="91">
        <v>150</v>
      </c>
      <c r="K28" s="91" t="s">
        <v>436</v>
      </c>
      <c r="L28" s="21" t="s">
        <v>923</v>
      </c>
      <c r="M28" s="91" t="s">
        <v>23</v>
      </c>
      <c r="N28" s="21"/>
      <c r="O28" s="91" t="str">
        <f t="shared" si="5"/>
        <v>W</v>
      </c>
      <c r="P28" s="26" t="str">
        <f t="shared" si="0"/>
        <v>NX</v>
      </c>
      <c r="Q28" s="26" t="str">
        <f t="shared" si="1"/>
        <v>ST</v>
      </c>
      <c r="R28" s="26" t="str">
        <f t="shared" si="2"/>
        <v>Lv 3</v>
      </c>
      <c r="S28" s="26" t="str">
        <f t="shared" si="3"/>
        <v>Lv 2</v>
      </c>
      <c r="T28" s="84" t="str">
        <f t="shared" si="6"/>
        <v/>
      </c>
      <c r="U28" s="137" t="str">
        <f t="shared" si="7"/>
        <v>PKT</v>
      </c>
      <c r="V28" s="137" t="str">
        <f t="shared" si="8"/>
        <v>CGO</v>
      </c>
      <c r="W28" s="138" t="str">
        <f t="shared" si="10"/>
        <v/>
      </c>
      <c r="X28" s="5" t="str">
        <f t="shared" si="9"/>
        <v/>
      </c>
      <c r="Y28" s="88"/>
      <c r="Z28" s="88"/>
    </row>
    <row r="29" spans="1:26" s="4" customFormat="1" ht="94.5" customHeight="1">
      <c r="A29" s="91" t="s">
        <v>850</v>
      </c>
      <c r="B29" s="91" t="s">
        <v>861</v>
      </c>
      <c r="C29" s="91" t="s">
        <v>453</v>
      </c>
      <c r="D29" s="91" t="s">
        <v>916</v>
      </c>
      <c r="E29" s="91" t="s">
        <v>922</v>
      </c>
      <c r="F29" s="91" t="s">
        <v>52</v>
      </c>
      <c r="G29" s="91" t="s">
        <v>494</v>
      </c>
      <c r="H29" s="91" t="s">
        <v>54</v>
      </c>
      <c r="I29" s="91" t="s">
        <v>46</v>
      </c>
      <c r="J29" s="91">
        <v>150</v>
      </c>
      <c r="K29" s="91" t="s">
        <v>436</v>
      </c>
      <c r="L29" s="21" t="s">
        <v>924</v>
      </c>
      <c r="M29" s="21" t="s">
        <v>23</v>
      </c>
      <c r="N29" s="21"/>
      <c r="O29" s="91" t="str">
        <f t="shared" si="5"/>
        <v>W</v>
      </c>
      <c r="P29" s="26" t="str">
        <f t="shared" si="0"/>
        <v>NX</v>
      </c>
      <c r="Q29" s="26" t="str">
        <f t="shared" si="1"/>
        <v>ST</v>
      </c>
      <c r="R29" s="26" t="str">
        <f t="shared" si="2"/>
        <v>Lv 3</v>
      </c>
      <c r="S29" s="26" t="str">
        <f t="shared" si="3"/>
        <v>Lv 2</v>
      </c>
      <c r="T29" s="84" t="str">
        <f t="shared" si="6"/>
        <v/>
      </c>
      <c r="U29" s="137" t="str">
        <f t="shared" si="7"/>
        <v>PKT</v>
      </c>
      <c r="V29" s="137" t="str">
        <f t="shared" si="8"/>
        <v>CGO</v>
      </c>
      <c r="W29" s="138" t="str">
        <f t="shared" si="10"/>
        <v/>
      </c>
      <c r="X29" s="5" t="str">
        <f t="shared" si="9"/>
        <v/>
      </c>
      <c r="Y29" s="88"/>
      <c r="Z29" s="88"/>
    </row>
    <row r="30" spans="1:26" s="4" customFormat="1" ht="94.5" customHeight="1">
      <c r="A30" s="91" t="s">
        <v>850</v>
      </c>
      <c r="B30" s="91" t="s">
        <v>861</v>
      </c>
      <c r="C30" s="91" t="s">
        <v>453</v>
      </c>
      <c r="D30" s="91" t="s">
        <v>916</v>
      </c>
      <c r="E30" s="91" t="s">
        <v>922</v>
      </c>
      <c r="F30" s="91" t="s">
        <v>52</v>
      </c>
      <c r="G30" s="91" t="s">
        <v>494</v>
      </c>
      <c r="H30" s="91" t="s">
        <v>54</v>
      </c>
      <c r="I30" s="91" t="s">
        <v>46</v>
      </c>
      <c r="J30" s="91">
        <v>150</v>
      </c>
      <c r="K30" s="91" t="s">
        <v>925</v>
      </c>
      <c r="L30" s="21" t="s">
        <v>926</v>
      </c>
      <c r="M30" s="21" t="s">
        <v>23</v>
      </c>
      <c r="N30" s="21"/>
      <c r="O30" s="91" t="str">
        <f t="shared" si="5"/>
        <v>W</v>
      </c>
      <c r="P30" s="26" t="str">
        <f t="shared" si="0"/>
        <v>NX</v>
      </c>
      <c r="Q30" s="26" t="str">
        <f t="shared" si="1"/>
        <v>ST</v>
      </c>
      <c r="R30" s="26" t="str">
        <f t="shared" si="2"/>
        <v>Lv 3</v>
      </c>
      <c r="S30" s="26" t="str">
        <f t="shared" si="3"/>
        <v>Lv 2</v>
      </c>
      <c r="T30" s="84" t="str">
        <f t="shared" si="6"/>
        <v/>
      </c>
      <c r="U30" s="137" t="str">
        <f t="shared" si="7"/>
        <v>ETC</v>
      </c>
      <c r="V30" s="137" t="str">
        <f t="shared" si="8"/>
        <v>REG</v>
      </c>
      <c r="W30" s="138" t="str">
        <f t="shared" si="10"/>
        <v/>
      </c>
      <c r="X30" s="5" t="str">
        <f t="shared" si="9"/>
        <v/>
      </c>
      <c r="Y30" s="88"/>
      <c r="Z30" s="88"/>
    </row>
    <row r="31" spans="1:26" s="4" customFormat="1" ht="94.5" customHeight="1">
      <c r="A31" s="91" t="s">
        <v>850</v>
      </c>
      <c r="B31" s="91" t="s">
        <v>861</v>
      </c>
      <c r="C31" s="91" t="s">
        <v>453</v>
      </c>
      <c r="D31" s="91" t="s">
        <v>916</v>
      </c>
      <c r="E31" s="91" t="s">
        <v>922</v>
      </c>
      <c r="F31" s="91" t="s">
        <v>52</v>
      </c>
      <c r="G31" s="91" t="s">
        <v>494</v>
      </c>
      <c r="H31" s="91" t="s">
        <v>54</v>
      </c>
      <c r="I31" s="91" t="s">
        <v>46</v>
      </c>
      <c r="J31" s="91">
        <v>150</v>
      </c>
      <c r="K31" s="21" t="s">
        <v>915</v>
      </c>
      <c r="L31" s="21" t="s">
        <v>927</v>
      </c>
      <c r="M31" s="21" t="s">
        <v>23</v>
      </c>
      <c r="N31" s="21"/>
      <c r="O31" s="91" t="str">
        <f t="shared" si="5"/>
        <v>W</v>
      </c>
      <c r="P31" s="26" t="str">
        <f t="shared" si="0"/>
        <v>NX</v>
      </c>
      <c r="Q31" s="26" t="str">
        <f t="shared" si="1"/>
        <v>ST</v>
      </c>
      <c r="R31" s="26" t="str">
        <f t="shared" si="2"/>
        <v>Lv 3</v>
      </c>
      <c r="S31" s="26" t="str">
        <f t="shared" si="3"/>
        <v>Lv 2</v>
      </c>
      <c r="T31" s="84" t="str">
        <f t="shared" si="6"/>
        <v/>
      </c>
      <c r="U31" s="137" t="str">
        <f t="shared" si="7"/>
        <v>ST</v>
      </c>
      <c r="V31" s="137" t="str">
        <f t="shared" si="8"/>
        <v>QTR</v>
      </c>
      <c r="W31" s="138" t="str">
        <f t="shared" si="10"/>
        <v/>
      </c>
      <c r="X31" s="5" t="str">
        <f t="shared" si="9"/>
        <v/>
      </c>
      <c r="Y31" s="88"/>
      <c r="Z31" s="88"/>
    </row>
    <row r="32" spans="1:26" s="4" customFormat="1" ht="94.5" customHeight="1">
      <c r="A32" s="91" t="s">
        <v>850</v>
      </c>
      <c r="B32" s="91" t="s">
        <v>861</v>
      </c>
      <c r="C32" s="91" t="s">
        <v>455</v>
      </c>
      <c r="D32" s="91" t="s">
        <v>928</v>
      </c>
      <c r="E32" s="91" t="s">
        <v>929</v>
      </c>
      <c r="F32" s="91" t="s">
        <v>161</v>
      </c>
      <c r="G32" s="91" t="s">
        <v>279</v>
      </c>
      <c r="H32" s="91" t="s">
        <v>156</v>
      </c>
      <c r="I32" s="91" t="s">
        <v>280</v>
      </c>
      <c r="J32" s="91">
        <v>180</v>
      </c>
      <c r="K32" s="91" t="s">
        <v>430</v>
      </c>
      <c r="L32" s="21" t="s">
        <v>456</v>
      </c>
      <c r="M32" s="21" t="s">
        <v>23</v>
      </c>
      <c r="N32" s="21"/>
      <c r="O32" s="91" t="str">
        <f t="shared" si="5"/>
        <v>W</v>
      </c>
      <c r="P32" s="26" t="str">
        <f t="shared" si="0"/>
        <v>P</v>
      </c>
      <c r="Q32" s="26" t="str">
        <f t="shared" si="1"/>
        <v>WP</v>
      </c>
      <c r="R32" s="26" t="str">
        <f t="shared" si="2"/>
        <v>Lv 1</v>
      </c>
      <c r="S32" s="26" t="str">
        <f t="shared" si="3"/>
        <v>Lv 3</v>
      </c>
      <c r="T32" s="84" t="str">
        <f t="shared" si="6"/>
        <v/>
      </c>
      <c r="U32" s="137" t="str">
        <f t="shared" si="7"/>
        <v>DTL</v>
      </c>
      <c r="V32" s="137" t="str">
        <f t="shared" si="8"/>
        <v>PLK</v>
      </c>
      <c r="W32" s="138" t="str">
        <f t="shared" si="10"/>
        <v/>
      </c>
      <c r="X32" s="5" t="str">
        <f t="shared" si="9"/>
        <v/>
      </c>
      <c r="Y32" s="88"/>
      <c r="Z32" s="88"/>
    </row>
    <row r="33" spans="1:26" s="4" customFormat="1" ht="109.5" customHeight="1">
      <c r="A33" s="91" t="s">
        <v>850</v>
      </c>
      <c r="B33" s="91" t="s">
        <v>861</v>
      </c>
      <c r="C33" s="91" t="s">
        <v>455</v>
      </c>
      <c r="D33" s="91" t="s">
        <v>928</v>
      </c>
      <c r="E33" s="91" t="s">
        <v>930</v>
      </c>
      <c r="F33" s="21" t="s">
        <v>52</v>
      </c>
      <c r="G33" s="91" t="s">
        <v>457</v>
      </c>
      <c r="H33" s="21" t="s">
        <v>458</v>
      </c>
      <c r="I33" s="91" t="s">
        <v>35</v>
      </c>
      <c r="J33" s="91">
        <v>224</v>
      </c>
      <c r="K33" s="91" t="s">
        <v>459</v>
      </c>
      <c r="L33" s="21" t="s">
        <v>454</v>
      </c>
      <c r="M33" s="21" t="s">
        <v>23</v>
      </c>
      <c r="N33" s="21"/>
      <c r="O33" s="91" t="str">
        <f t="shared" si="5"/>
        <v>W</v>
      </c>
      <c r="P33" s="26" t="str">
        <f t="shared" si="0"/>
        <v>NX</v>
      </c>
      <c r="Q33" s="26" t="str">
        <f t="shared" si="1"/>
        <v>WR</v>
      </c>
      <c r="R33" s="26" t="str">
        <f t="shared" si="2"/>
        <v>Lv 3</v>
      </c>
      <c r="S33" s="26" t="str">
        <f t="shared" si="3"/>
        <v>Lv 3</v>
      </c>
      <c r="T33" s="84" t="str">
        <f t="shared" si="6"/>
        <v/>
      </c>
      <c r="U33" s="137" t="str">
        <f t="shared" si="7"/>
        <v>PKT</v>
      </c>
      <c r="V33" s="137" t="str">
        <f t="shared" si="8"/>
        <v>REG</v>
      </c>
      <c r="W33" s="138" t="str">
        <f t="shared" si="10"/>
        <v/>
      </c>
      <c r="X33" s="5" t="str">
        <f t="shared" si="9"/>
        <v/>
      </c>
      <c r="Y33" s="88"/>
      <c r="Z33" s="88"/>
    </row>
    <row r="34" spans="1:26" s="4" customFormat="1" ht="84" customHeight="1">
      <c r="A34" s="91" t="s">
        <v>850</v>
      </c>
      <c r="B34" s="91" t="s">
        <v>861</v>
      </c>
      <c r="C34" s="91" t="s">
        <v>460</v>
      </c>
      <c r="D34" s="91" t="s">
        <v>931</v>
      </c>
      <c r="E34" s="91" t="s">
        <v>932</v>
      </c>
      <c r="F34" s="91" t="s">
        <v>461</v>
      </c>
      <c r="G34" s="91" t="s">
        <v>462</v>
      </c>
      <c r="H34" s="91" t="s">
        <v>463</v>
      </c>
      <c r="I34" s="91" t="s">
        <v>464</v>
      </c>
      <c r="J34" s="91">
        <v>370</v>
      </c>
      <c r="K34" s="21" t="s">
        <v>416</v>
      </c>
      <c r="L34" s="91" t="s">
        <v>417</v>
      </c>
      <c r="M34" s="91" t="s">
        <v>23</v>
      </c>
      <c r="N34" s="21"/>
      <c r="O34" s="91" t="str">
        <f t="shared" si="5"/>
        <v>W</v>
      </c>
      <c r="P34" s="26" t="str">
        <f t="shared" ref="P34:P65" si="11">IF(H34="", "",
 IF(AND(ISNUMBER(SEARCH("Cotton", H34)), OR(ISNUMBER(SEARCH("Sorona", H34)), ISNUMBER(SEARCH("Polyester(Sorona)", H34)))), "CS",
  IF(AND(ISNUMBER(SEARCH("Nylon", H34)), OR(ISNUMBER(SEARCH("Span", H34)), ISNUMBER(SEARCH("Polyurethane", H34)), ISNUMBER(SEARCH("Elastane", H34)))), "NX",
   IF(AND(ISNUMBER(SEARCH("Nylon", H34)), NOT(OR(ISNUMBER(SEARCH("Cotton", H34)), ISNUMBER(SEARCH("Polyester", H34)), ISNUMBER(SEARCH("Rayon", H34)), ISNUMBER(SEARCH("Modal", H34)), ISNUMBER(SEARCH("Viscose", H34))))), "N",
    IF(AND(ISNUMBER(SEARCH("Cotton", H34)), NOT(OR(ISNUMBER(SEARCH("Polyester", H34)), ISNUMBER(SEARCH("Nylon", H34)), ISNUMBER(SEARCH("Rayon", H34)), ISNUMBER(SEARCH("Modal", H34)), ISNUMBER(SEARCH("Viscose", H34)), ISNUMBER(SEARCH("Polyurethane", H34)), ISNUMBER(SEARCH("Span", H34))))), "C",
     IF(ISNUMBER(SEARCH("Cotton", H34)), "CX",
      IF(AND(ISNUMBER(SEARCH("Polyester", H34)), NOT(OR(ISNUMBER(SEARCH("Cotton", H34)), ISNUMBER(SEARCH("Nylon", H34)), ISNUMBER(SEARCH("Wool", H34)), ISNUMBER(SEARCH("Rayon", H34))))), "P",
       "S")))))))</f>
        <v>S</v>
      </c>
      <c r="Q34" s="26" t="str">
        <f t="shared" ref="Q34:Q65" si="12">IF(OR(I34="", I34="X", I34="None"), "ST",
 IF(OR(ISNUMBER(SEARCH("Layer", I34)), ISNUMBER(SEARCH("Lamination", I34)), ISNUMBER(SEARCH("TPU", I34)), ISNUMBER(SEARCH("PU", I34))), "WP",
  IF(OR(ISNUMBER(SEARCH("WR", I34)), ISNUMBER(SEARCH("DWR", I34)), ISNUMBER(SEARCH("Cire", I34)), ISNUMBER(SEARCH("Coating", I34)), ISNUMBER(SEARCH("Print", I34))), "WR",
   IF(OR(ISNUMBER(SEARCH("Bio", I34)), ISNUMBER(SEARCH("Enzyme", I34)), ISNUMBER(SEARCH("Peach", I34)), ISNUMBER(SEARCH("Brush", I34)), ISNUMBER(SEARCH("Tumble", I34)), ISNUMBER(SEARCH("Airo", I34))), "AF",
    IF(OR(ISNUMBER(SEARCH("UV", I34)), ISNUMBER(SEARCH("Dry", I34)), ISNUMBER(SEARCH("Wick", I34)), ISNUMBER(SEARCH("Hydrolysis", I34))), "FN",
     "ST")))))</f>
        <v>ST</v>
      </c>
      <c r="R34" s="26" t="str">
        <f t="shared" ref="R34:R65" si="13">IF(H34="", "",
 IF(OR(ISNUMBER(SEARCH("Span",H34)), ISNUMBER(SEARCH("Polyurethane",H34)), ISNUMBER(SEARCH("PU",H34))),
    IF(IFERROR(VALUE(LEFT(SUBSTITUTE(MID(H34,SEARCH("%",H34)-3,3),",",""),2)),0)&gt;=12, "Lv 5",
    IF(IFERROR(VALUE(LEFT(SUBSTITUTE(MID(H34,SEARCH("%",H34)-3,3),",",""),2)),0)&gt;=6, "Lv 4", "Lv 3")),
    IF(OR(ISNUMBER(SEARCH("Sorona",H34)), ISNUMBER(SEARCH("T400",H34)), ISNUMBER(SEARCH("Knit",H34))), "Lv 2", "Lv 1")
 ))</f>
        <v>Lv 1</v>
      </c>
      <c r="S34" s="26" t="str">
        <f t="shared" ref="S34:S65" si="14">IF(OR(J34="", J34=0), "",
 IF(J34&lt;=80, "Lv 1",
  IF(J34&lt;=160, "Lv 2",
   IF(J34&lt;=260, "Lv 3",
    IF(J34&lt;=360, "Lv 4",
     "Lv 5")))))</f>
        <v>Lv 5</v>
      </c>
      <c r="T34" s="84" t="str">
        <f t="shared" si="6"/>
        <v/>
      </c>
      <c r="U34" s="137" t="str">
        <f t="shared" si="7"/>
        <v>NK</v>
      </c>
      <c r="V34" s="137" t="str">
        <f t="shared" si="8"/>
        <v>SELF</v>
      </c>
      <c r="W34" s="138" t="str">
        <f t="shared" si="10"/>
        <v/>
      </c>
      <c r="X34" s="5" t="str">
        <f t="shared" si="9"/>
        <v/>
      </c>
      <c r="Y34" s="88"/>
      <c r="Z34" s="88"/>
    </row>
    <row r="35" spans="1:26" s="4" customFormat="1" ht="84" customHeight="1">
      <c r="A35" s="91" t="s">
        <v>850</v>
      </c>
      <c r="B35" s="91" t="s">
        <v>933</v>
      </c>
      <c r="C35" s="91" t="s">
        <v>465</v>
      </c>
      <c r="D35" s="91" t="s">
        <v>465</v>
      </c>
      <c r="E35" s="91" t="s">
        <v>934</v>
      </c>
      <c r="F35" s="91" t="s">
        <v>466</v>
      </c>
      <c r="G35" s="91" t="s">
        <v>467</v>
      </c>
      <c r="H35" s="21" t="s">
        <v>98</v>
      </c>
      <c r="I35" s="91" t="s">
        <v>468</v>
      </c>
      <c r="J35" s="91">
        <v>10.5</v>
      </c>
      <c r="K35" s="21" t="s">
        <v>416</v>
      </c>
      <c r="L35" s="91" t="s">
        <v>417</v>
      </c>
      <c r="M35" s="91" t="s">
        <v>23</v>
      </c>
      <c r="N35" s="21"/>
      <c r="O35" s="91" t="str">
        <f t="shared" si="5"/>
        <v>D</v>
      </c>
      <c r="P35" s="26" t="str">
        <f t="shared" si="11"/>
        <v>C</v>
      </c>
      <c r="Q35" s="26" t="str">
        <f t="shared" si="12"/>
        <v>ST</v>
      </c>
      <c r="R35" s="26" t="str">
        <f t="shared" si="13"/>
        <v>Lv 1</v>
      </c>
      <c r="S35" s="26" t="str">
        <f t="shared" si="14"/>
        <v>Lv 1</v>
      </c>
      <c r="T35" s="84" t="str">
        <f t="shared" si="6"/>
        <v/>
      </c>
      <c r="U35" s="137" t="str">
        <f t="shared" si="7"/>
        <v>NK</v>
      </c>
      <c r="V35" s="137" t="str">
        <f t="shared" si="8"/>
        <v>SELF</v>
      </c>
      <c r="W35" s="138" t="str">
        <f t="shared" si="10"/>
        <v/>
      </c>
      <c r="X35" s="5" t="str">
        <f t="shared" si="9"/>
        <v/>
      </c>
      <c r="Y35" s="88"/>
      <c r="Z35" s="88"/>
    </row>
    <row r="36" spans="1:26" s="4" customFormat="1" ht="84" customHeight="1">
      <c r="A36" s="91" t="s">
        <v>850</v>
      </c>
      <c r="B36" s="91" t="s">
        <v>933</v>
      </c>
      <c r="C36" s="91" t="s">
        <v>465</v>
      </c>
      <c r="D36" s="91" t="s">
        <v>465</v>
      </c>
      <c r="E36" s="91" t="s">
        <v>935</v>
      </c>
      <c r="F36" s="91" t="s">
        <v>469</v>
      </c>
      <c r="G36" s="91" t="s">
        <v>470</v>
      </c>
      <c r="H36" s="91" t="s">
        <v>471</v>
      </c>
      <c r="I36" s="91" t="s">
        <v>23</v>
      </c>
      <c r="J36" s="91">
        <v>11.5</v>
      </c>
      <c r="K36" s="91" t="s">
        <v>472</v>
      </c>
      <c r="L36" s="21" t="s">
        <v>473</v>
      </c>
      <c r="M36" s="21" t="s">
        <v>23</v>
      </c>
      <c r="N36" s="21"/>
      <c r="O36" s="91" t="str">
        <f t="shared" si="5"/>
        <v>D</v>
      </c>
      <c r="P36" s="26" t="str">
        <f t="shared" si="11"/>
        <v>CX</v>
      </c>
      <c r="Q36" s="26" t="str">
        <f t="shared" si="12"/>
        <v>ST</v>
      </c>
      <c r="R36" s="26" t="str">
        <f t="shared" si="13"/>
        <v>Lv 1</v>
      </c>
      <c r="S36" s="26" t="str">
        <f t="shared" si="14"/>
        <v>Lv 1</v>
      </c>
      <c r="T36" s="84" t="str">
        <f t="shared" si="6"/>
        <v/>
      </c>
      <c r="U36" s="137" t="str">
        <f t="shared" si="7"/>
        <v>DTL</v>
      </c>
      <c r="V36" s="137" t="str">
        <f t="shared" si="8"/>
        <v>REG</v>
      </c>
      <c r="W36" s="138" t="str">
        <f t="shared" si="10"/>
        <v/>
      </c>
      <c r="X36" s="5" t="str">
        <f t="shared" si="9"/>
        <v/>
      </c>
      <c r="Y36" s="88"/>
      <c r="Z36" s="88"/>
    </row>
    <row r="37" spans="1:26" s="4" customFormat="1" ht="84" customHeight="1">
      <c r="A37" s="91" t="s">
        <v>850</v>
      </c>
      <c r="B37" s="91" t="s">
        <v>933</v>
      </c>
      <c r="C37" s="91" t="s">
        <v>474</v>
      </c>
      <c r="D37" s="91" t="s">
        <v>474</v>
      </c>
      <c r="E37" s="91" t="s">
        <v>936</v>
      </c>
      <c r="F37" s="91" t="s">
        <v>466</v>
      </c>
      <c r="G37" s="91" t="s">
        <v>475</v>
      </c>
      <c r="H37" s="91" t="s">
        <v>98</v>
      </c>
      <c r="I37" s="91" t="s">
        <v>468</v>
      </c>
      <c r="J37" s="91">
        <v>9.3000000000000007</v>
      </c>
      <c r="K37" s="21" t="s">
        <v>416</v>
      </c>
      <c r="L37" s="91" t="s">
        <v>417</v>
      </c>
      <c r="M37" s="91" t="s">
        <v>23</v>
      </c>
      <c r="N37" s="21"/>
      <c r="O37" s="91" t="str">
        <f t="shared" si="5"/>
        <v>D</v>
      </c>
      <c r="P37" s="26" t="str">
        <f t="shared" si="11"/>
        <v>C</v>
      </c>
      <c r="Q37" s="26" t="str">
        <f t="shared" si="12"/>
        <v>ST</v>
      </c>
      <c r="R37" s="26" t="str">
        <f t="shared" si="13"/>
        <v>Lv 1</v>
      </c>
      <c r="S37" s="26" t="str">
        <f t="shared" si="14"/>
        <v>Lv 1</v>
      </c>
      <c r="T37" s="84" t="str">
        <f t="shared" si="6"/>
        <v/>
      </c>
      <c r="U37" s="137" t="str">
        <f t="shared" si="7"/>
        <v>NK</v>
      </c>
      <c r="V37" s="137" t="str">
        <f t="shared" si="8"/>
        <v>SELF</v>
      </c>
      <c r="W37" s="138" t="str">
        <f t="shared" si="10"/>
        <v/>
      </c>
      <c r="X37" s="5" t="str">
        <f t="shared" si="9"/>
        <v/>
      </c>
      <c r="Y37" s="88"/>
      <c r="Z37" s="88"/>
    </row>
    <row r="38" spans="1:26" s="4" customFormat="1" ht="84" customHeight="1">
      <c r="A38" s="91" t="s">
        <v>850</v>
      </c>
      <c r="B38" s="91" t="s">
        <v>933</v>
      </c>
      <c r="C38" s="91" t="s">
        <v>474</v>
      </c>
      <c r="D38" s="91" t="s">
        <v>474</v>
      </c>
      <c r="E38" s="91" t="s">
        <v>937</v>
      </c>
      <c r="F38" s="21" t="s">
        <v>466</v>
      </c>
      <c r="G38" s="91" t="s">
        <v>476</v>
      </c>
      <c r="H38" s="91" t="s">
        <v>98</v>
      </c>
      <c r="I38" s="91" t="s">
        <v>23</v>
      </c>
      <c r="J38" s="91">
        <v>11.7</v>
      </c>
      <c r="K38" s="21" t="s">
        <v>416</v>
      </c>
      <c r="L38" s="91" t="s">
        <v>417</v>
      </c>
      <c r="M38" s="91" t="s">
        <v>23</v>
      </c>
      <c r="N38" s="21"/>
      <c r="O38" s="91" t="str">
        <f t="shared" si="5"/>
        <v>D</v>
      </c>
      <c r="P38" s="26" t="str">
        <f t="shared" si="11"/>
        <v>C</v>
      </c>
      <c r="Q38" s="26" t="str">
        <f t="shared" si="12"/>
        <v>ST</v>
      </c>
      <c r="R38" s="26" t="str">
        <f t="shared" si="13"/>
        <v>Lv 1</v>
      </c>
      <c r="S38" s="26" t="str">
        <f t="shared" si="14"/>
        <v>Lv 1</v>
      </c>
      <c r="T38" s="84" t="str">
        <f t="shared" si="6"/>
        <v/>
      </c>
      <c r="U38" s="5" t="str">
        <f t="shared" si="7"/>
        <v>NK</v>
      </c>
      <c r="V38" s="5" t="str">
        <f t="shared" si="8"/>
        <v>SELF</v>
      </c>
      <c r="W38" s="138" t="str">
        <f t="shared" si="10"/>
        <v/>
      </c>
      <c r="X38" s="5" t="str">
        <f t="shared" si="9"/>
        <v/>
      </c>
      <c r="Y38" s="88"/>
      <c r="Z38" s="88"/>
    </row>
    <row r="39" spans="1:26" s="4" customFormat="1" ht="84" customHeight="1">
      <c r="A39" s="91" t="s">
        <v>850</v>
      </c>
      <c r="B39" s="91" t="s">
        <v>933</v>
      </c>
      <c r="C39" s="91" t="s">
        <v>478</v>
      </c>
      <c r="D39" s="91" t="s">
        <v>478</v>
      </c>
      <c r="E39" s="91" t="s">
        <v>938</v>
      </c>
      <c r="F39" s="91" t="s">
        <v>466</v>
      </c>
      <c r="G39" s="91" t="s">
        <v>477</v>
      </c>
      <c r="H39" s="21" t="s">
        <v>98</v>
      </c>
      <c r="I39" s="91" t="s">
        <v>468</v>
      </c>
      <c r="J39" s="91">
        <v>10.1</v>
      </c>
      <c r="K39" s="21" t="s">
        <v>416</v>
      </c>
      <c r="L39" s="91" t="s">
        <v>417</v>
      </c>
      <c r="M39" s="91" t="s">
        <v>23</v>
      </c>
      <c r="N39" s="21"/>
      <c r="O39" s="91" t="str">
        <f t="shared" si="5"/>
        <v>D</v>
      </c>
      <c r="P39" s="26" t="str">
        <f t="shared" si="11"/>
        <v>C</v>
      </c>
      <c r="Q39" s="26" t="str">
        <f t="shared" si="12"/>
        <v>ST</v>
      </c>
      <c r="R39" s="26" t="str">
        <f t="shared" si="13"/>
        <v>Lv 1</v>
      </c>
      <c r="S39" s="26" t="str">
        <f t="shared" si="14"/>
        <v>Lv 1</v>
      </c>
      <c r="T39" s="84" t="str">
        <f t="shared" si="6"/>
        <v/>
      </c>
      <c r="U39" s="5" t="str">
        <f t="shared" si="7"/>
        <v>NK</v>
      </c>
      <c r="V39" s="5" t="str">
        <f t="shared" si="8"/>
        <v>SELF</v>
      </c>
      <c r="W39" s="138" t="str">
        <f t="shared" si="10"/>
        <v/>
      </c>
      <c r="X39" s="5" t="str">
        <f t="shared" si="9"/>
        <v/>
      </c>
      <c r="Y39" s="88"/>
      <c r="Z39" s="88"/>
    </row>
    <row r="40" spans="1:26" s="4" customFormat="1" ht="84" customHeight="1">
      <c r="A40" s="91" t="s">
        <v>850</v>
      </c>
      <c r="B40" s="91" t="s">
        <v>933</v>
      </c>
      <c r="C40" s="91" t="s">
        <v>478</v>
      </c>
      <c r="D40" s="91" t="s">
        <v>478</v>
      </c>
      <c r="E40" s="91" t="s">
        <v>938</v>
      </c>
      <c r="F40" s="91" t="s">
        <v>466</v>
      </c>
      <c r="G40" s="91" t="s">
        <v>477</v>
      </c>
      <c r="H40" s="21" t="s">
        <v>98</v>
      </c>
      <c r="I40" s="91" t="s">
        <v>468</v>
      </c>
      <c r="J40" s="91"/>
      <c r="K40" s="21" t="s">
        <v>416</v>
      </c>
      <c r="L40" s="91" t="s">
        <v>417</v>
      </c>
      <c r="M40" s="91" t="s">
        <v>23</v>
      </c>
      <c r="N40" s="21"/>
      <c r="O40" s="91" t="str">
        <f t="shared" si="5"/>
        <v>D</v>
      </c>
      <c r="P40" s="26" t="str">
        <f t="shared" si="11"/>
        <v>C</v>
      </c>
      <c r="Q40" s="26" t="str">
        <f t="shared" si="12"/>
        <v>ST</v>
      </c>
      <c r="R40" s="26" t="str">
        <f t="shared" si="13"/>
        <v>Lv 1</v>
      </c>
      <c r="S40" s="26" t="str">
        <f t="shared" si="14"/>
        <v/>
      </c>
      <c r="T40" s="84" t="str">
        <f t="shared" si="6"/>
        <v/>
      </c>
      <c r="U40" s="5" t="str">
        <f t="shared" si="7"/>
        <v>NK</v>
      </c>
      <c r="V40" s="5" t="str">
        <f t="shared" si="8"/>
        <v>SELF</v>
      </c>
      <c r="W40" s="138" t="str">
        <f t="shared" ref="W40:W71" si="15">IF(M40="O", _xlfn.TEXTJOIN("-", TRUE, U40:V40), "")</f>
        <v/>
      </c>
      <c r="X40" s="5" t="str">
        <f t="shared" si="9"/>
        <v/>
      </c>
      <c r="Y40" s="88"/>
      <c r="Z40" s="88"/>
    </row>
    <row r="41" spans="1:26" s="4" customFormat="1" ht="84" customHeight="1">
      <c r="A41" s="91" t="s">
        <v>850</v>
      </c>
      <c r="B41" s="91" t="s">
        <v>851</v>
      </c>
      <c r="C41" s="91" t="s">
        <v>479</v>
      </c>
      <c r="D41" s="91" t="s">
        <v>939</v>
      </c>
      <c r="E41" s="91" t="s">
        <v>940</v>
      </c>
      <c r="F41" s="91" t="s">
        <v>479</v>
      </c>
      <c r="G41" s="91" t="s">
        <v>480</v>
      </c>
      <c r="H41" s="21" t="s">
        <v>98</v>
      </c>
      <c r="I41" s="21" t="s">
        <v>481</v>
      </c>
      <c r="J41" s="21">
        <v>330</v>
      </c>
      <c r="K41" s="91" t="s">
        <v>941</v>
      </c>
      <c r="L41" s="21" t="s">
        <v>942</v>
      </c>
      <c r="M41" s="21" t="s">
        <v>36</v>
      </c>
      <c r="N41" s="21" t="s">
        <v>943</v>
      </c>
      <c r="O41" s="91" t="str">
        <f t="shared" si="5"/>
        <v>K</v>
      </c>
      <c r="P41" s="26" t="str">
        <f t="shared" si="11"/>
        <v>C</v>
      </c>
      <c r="Q41" s="26" t="str">
        <f t="shared" si="12"/>
        <v>ST</v>
      </c>
      <c r="R41" s="26" t="str">
        <f t="shared" si="13"/>
        <v>Lv 1</v>
      </c>
      <c r="S41" s="26" t="str">
        <f t="shared" si="14"/>
        <v>Lv 4</v>
      </c>
      <c r="T41" s="84" t="str">
        <f t="shared" si="6"/>
        <v>K-C-ST-Lv 1-Lv 4</v>
      </c>
      <c r="U41" s="5" t="str">
        <f t="shared" si="7"/>
        <v>ST</v>
      </c>
      <c r="V41" s="5" t="str">
        <f t="shared" si="8"/>
        <v>REG</v>
      </c>
      <c r="W41" s="138" t="str">
        <f t="shared" si="15"/>
        <v>ST-REG</v>
      </c>
      <c r="X41" s="5" t="str">
        <f t="shared" si="9"/>
        <v>⚠️ [워싱/절개 변형] 워싱·탈색 공정 시 절개/요크 꿀렁임 및 스티치 보풀(필링) 주의</v>
      </c>
      <c r="Y41" s="88"/>
      <c r="Z41" s="88"/>
    </row>
    <row r="42" spans="1:26" s="4" customFormat="1" ht="84" customHeight="1">
      <c r="A42" s="91" t="s">
        <v>135</v>
      </c>
      <c r="B42" s="91" t="s">
        <v>851</v>
      </c>
      <c r="C42" s="91" t="s">
        <v>479</v>
      </c>
      <c r="D42" s="91" t="s">
        <v>944</v>
      </c>
      <c r="E42" s="91" t="s">
        <v>945</v>
      </c>
      <c r="F42" s="91" t="s">
        <v>119</v>
      </c>
      <c r="G42" s="91" t="s">
        <v>482</v>
      </c>
      <c r="H42" s="21" t="s">
        <v>483</v>
      </c>
      <c r="I42" s="91" t="s">
        <v>440</v>
      </c>
      <c r="J42" s="91">
        <v>420</v>
      </c>
      <c r="K42" s="91" t="s">
        <v>487</v>
      </c>
      <c r="L42" s="91" t="s">
        <v>946</v>
      </c>
      <c r="M42" s="91" t="s">
        <v>23</v>
      </c>
      <c r="N42" s="21"/>
      <c r="O42" s="91" t="str">
        <f t="shared" si="5"/>
        <v>K</v>
      </c>
      <c r="P42" s="26" t="str">
        <f t="shared" si="11"/>
        <v>NX</v>
      </c>
      <c r="Q42" s="26" t="str">
        <f t="shared" si="12"/>
        <v>AF</v>
      </c>
      <c r="R42" s="26" t="str">
        <f t="shared" si="13"/>
        <v>Lv 3</v>
      </c>
      <c r="S42" s="26" t="str">
        <f t="shared" si="14"/>
        <v>Lv 5</v>
      </c>
      <c r="T42" s="84" t="str">
        <f t="shared" si="6"/>
        <v/>
      </c>
      <c r="U42" s="5" t="str">
        <f t="shared" si="7"/>
        <v>ETC</v>
      </c>
      <c r="V42" s="5" t="str">
        <f t="shared" si="8"/>
        <v>PIP</v>
      </c>
      <c r="W42" s="138" t="str">
        <f t="shared" si="15"/>
        <v/>
      </c>
      <c r="X42" s="5" t="str">
        <f t="shared" si="9"/>
        <v/>
      </c>
      <c r="Y42" s="88"/>
      <c r="Z42" s="88"/>
    </row>
    <row r="43" spans="1:26" s="4" customFormat="1" ht="84" customHeight="1">
      <c r="A43" s="91" t="s">
        <v>135</v>
      </c>
      <c r="B43" s="91" t="s">
        <v>851</v>
      </c>
      <c r="C43" s="91" t="s">
        <v>479</v>
      </c>
      <c r="D43" s="91" t="s">
        <v>939</v>
      </c>
      <c r="E43" s="91" t="s">
        <v>947</v>
      </c>
      <c r="F43" s="91" t="s">
        <v>138</v>
      </c>
      <c r="G43" s="91" t="s">
        <v>948</v>
      </c>
      <c r="H43" s="21" t="s">
        <v>140</v>
      </c>
      <c r="I43" s="91" t="s">
        <v>141</v>
      </c>
      <c r="J43" s="91">
        <v>360</v>
      </c>
      <c r="K43" s="91" t="s">
        <v>949</v>
      </c>
      <c r="L43" s="91" t="s">
        <v>950</v>
      </c>
      <c r="M43" s="91" t="s">
        <v>23</v>
      </c>
      <c r="N43" s="21"/>
      <c r="O43" s="91" t="str">
        <f t="shared" si="5"/>
        <v>K</v>
      </c>
      <c r="P43" s="26" t="str">
        <f t="shared" si="11"/>
        <v>CS</v>
      </c>
      <c r="Q43" s="26" t="str">
        <f t="shared" si="12"/>
        <v>ST</v>
      </c>
      <c r="R43" s="26" t="str">
        <f t="shared" si="13"/>
        <v>Lv 2</v>
      </c>
      <c r="S43" s="26" t="str">
        <f t="shared" si="14"/>
        <v>Lv 4</v>
      </c>
      <c r="T43" s="84" t="str">
        <f t="shared" si="6"/>
        <v/>
      </c>
      <c r="U43" s="5" t="str">
        <f t="shared" si="7"/>
        <v>ST</v>
      </c>
      <c r="V43" s="5" t="str">
        <f t="shared" si="8"/>
        <v>BLD</v>
      </c>
      <c r="W43" s="138" t="str">
        <f t="shared" si="15"/>
        <v/>
      </c>
      <c r="X43" s="5" t="str">
        <f t="shared" si="9"/>
        <v/>
      </c>
      <c r="Y43" s="88"/>
      <c r="Z43" s="88"/>
    </row>
    <row r="44" spans="1:26" s="4" customFormat="1" ht="84" customHeight="1">
      <c r="A44" s="91" t="s">
        <v>135</v>
      </c>
      <c r="B44" s="91" t="s">
        <v>851</v>
      </c>
      <c r="C44" s="91" t="s">
        <v>429</v>
      </c>
      <c r="D44" s="91" t="s">
        <v>874</v>
      </c>
      <c r="E44" s="91" t="s">
        <v>951</v>
      </c>
      <c r="F44" s="21" t="s">
        <v>119</v>
      </c>
      <c r="G44" s="91" t="s">
        <v>147</v>
      </c>
      <c r="H44" s="21" t="s">
        <v>148</v>
      </c>
      <c r="I44" s="91" t="s">
        <v>23</v>
      </c>
      <c r="J44" s="91">
        <v>320</v>
      </c>
      <c r="K44" s="91" t="s">
        <v>952</v>
      </c>
      <c r="L44" s="21" t="s">
        <v>953</v>
      </c>
      <c r="M44" s="21" t="s">
        <v>23</v>
      </c>
      <c r="N44" s="21"/>
      <c r="O44" s="91" t="str">
        <f t="shared" si="5"/>
        <v>K</v>
      </c>
      <c r="P44" s="26" t="str">
        <f t="shared" si="11"/>
        <v>CX</v>
      </c>
      <c r="Q44" s="26" t="str">
        <f t="shared" si="12"/>
        <v>ST</v>
      </c>
      <c r="R44" s="26" t="str">
        <f t="shared" si="13"/>
        <v>Lv 3</v>
      </c>
      <c r="S44" s="26" t="str">
        <f t="shared" si="14"/>
        <v>Lv 4</v>
      </c>
      <c r="T44" s="84" t="str">
        <f t="shared" si="6"/>
        <v/>
      </c>
      <c r="U44" s="5" t="str">
        <f t="shared" si="7"/>
        <v>DTL</v>
      </c>
      <c r="V44" s="5" t="str">
        <f t="shared" si="8"/>
        <v>REG</v>
      </c>
      <c r="W44" s="138" t="str">
        <f t="shared" si="15"/>
        <v/>
      </c>
      <c r="X44" s="5" t="str">
        <f t="shared" si="9"/>
        <v/>
      </c>
      <c r="Y44" s="88"/>
      <c r="Z44" s="88"/>
    </row>
    <row r="45" spans="1:26" s="4" customFormat="1" ht="84" customHeight="1">
      <c r="A45" s="93" t="s">
        <v>135</v>
      </c>
      <c r="B45" s="93" t="s">
        <v>861</v>
      </c>
      <c r="C45" s="93" t="s">
        <v>443</v>
      </c>
      <c r="D45" s="93" t="s">
        <v>954</v>
      </c>
      <c r="E45" s="93" t="s">
        <v>955</v>
      </c>
      <c r="F45" s="93" t="s">
        <v>161</v>
      </c>
      <c r="G45" s="93" t="s">
        <v>162</v>
      </c>
      <c r="H45" s="94" t="s">
        <v>163</v>
      </c>
      <c r="I45" s="93" t="s">
        <v>164</v>
      </c>
      <c r="J45" s="93">
        <v>155</v>
      </c>
      <c r="K45" s="93" t="s">
        <v>487</v>
      </c>
      <c r="L45" s="93" t="s">
        <v>956</v>
      </c>
      <c r="M45" s="93" t="s">
        <v>36</v>
      </c>
      <c r="N45" s="94"/>
      <c r="O45" s="91" t="str">
        <f t="shared" si="5"/>
        <v>W</v>
      </c>
      <c r="P45" s="26" t="str">
        <f t="shared" si="11"/>
        <v>NX</v>
      </c>
      <c r="Q45" s="26" t="str">
        <f t="shared" si="12"/>
        <v>FN</v>
      </c>
      <c r="R45" s="26" t="str">
        <f t="shared" si="13"/>
        <v>Lv 3</v>
      </c>
      <c r="S45" s="26" t="str">
        <f t="shared" si="14"/>
        <v>Lv 2</v>
      </c>
      <c r="T45" s="84" t="str">
        <f t="shared" si="6"/>
        <v>W-NX-FN-Lv 3-Lv 2</v>
      </c>
      <c r="U45" s="5" t="str">
        <f t="shared" si="7"/>
        <v>ETC</v>
      </c>
      <c r="V45" s="5" t="str">
        <f t="shared" si="8"/>
        <v>PIP</v>
      </c>
      <c r="W45" s="138" t="str">
        <f t="shared" si="15"/>
        <v>ETC-PIP</v>
      </c>
      <c r="X45" s="5" t="str">
        <f t="shared" si="9"/>
        <v>⚠️ [포켓/하중 주의] 얇거나 신축성 있는 원단: 포켓 입구 벌어짐 및 처짐 방지 공정 필수</v>
      </c>
      <c r="Y45" s="88"/>
      <c r="Z45" s="88"/>
    </row>
    <row r="46" spans="1:26" s="4" customFormat="1" ht="84" customHeight="1">
      <c r="A46" s="93" t="s">
        <v>135</v>
      </c>
      <c r="B46" s="93" t="s">
        <v>861</v>
      </c>
      <c r="C46" s="93" t="s">
        <v>443</v>
      </c>
      <c r="D46" s="93" t="s">
        <v>890</v>
      </c>
      <c r="E46" s="93" t="s">
        <v>957</v>
      </c>
      <c r="F46" s="93" t="s">
        <v>161</v>
      </c>
      <c r="G46" s="93" t="s">
        <v>162</v>
      </c>
      <c r="H46" s="94" t="s">
        <v>163</v>
      </c>
      <c r="I46" s="93" t="s">
        <v>164</v>
      </c>
      <c r="J46" s="93">
        <v>155</v>
      </c>
      <c r="K46" s="94" t="s">
        <v>487</v>
      </c>
      <c r="L46" s="94" t="s">
        <v>958</v>
      </c>
      <c r="M46" s="94" t="s">
        <v>36</v>
      </c>
      <c r="N46" s="94"/>
      <c r="O46" s="91" t="str">
        <f t="shared" si="5"/>
        <v>W</v>
      </c>
      <c r="P46" s="26" t="str">
        <f t="shared" si="11"/>
        <v>NX</v>
      </c>
      <c r="Q46" s="26" t="str">
        <f t="shared" si="12"/>
        <v>FN</v>
      </c>
      <c r="R46" s="26" t="str">
        <f t="shared" si="13"/>
        <v>Lv 3</v>
      </c>
      <c r="S46" s="26" t="str">
        <f t="shared" si="14"/>
        <v>Lv 2</v>
      </c>
      <c r="T46" s="84" t="str">
        <f t="shared" si="6"/>
        <v>W-NX-FN-Lv 3-Lv 2</v>
      </c>
      <c r="U46" s="5" t="str">
        <f t="shared" si="7"/>
        <v>ETC</v>
      </c>
      <c r="V46" s="5" t="str">
        <f t="shared" si="8"/>
        <v>PIP</v>
      </c>
      <c r="W46" s="138" t="str">
        <f t="shared" si="15"/>
        <v>ETC-PIP</v>
      </c>
      <c r="X46" s="5" t="str">
        <f t="shared" si="9"/>
        <v>⚠️ [포켓/하중 주의] 얇거나 신축성 있는 원단: 포켓 입구 벌어짐 및 처짐 방지 공정 필수</v>
      </c>
      <c r="Y46" s="88"/>
      <c r="Z46" s="88"/>
    </row>
    <row r="47" spans="1:26" s="4" customFormat="1" ht="84" customHeight="1">
      <c r="A47" s="91" t="s">
        <v>135</v>
      </c>
      <c r="B47" s="91" t="s">
        <v>861</v>
      </c>
      <c r="C47" s="91" t="s">
        <v>443</v>
      </c>
      <c r="D47" s="91" t="s">
        <v>959</v>
      </c>
      <c r="E47" s="91" t="s">
        <v>960</v>
      </c>
      <c r="F47" s="91" t="s">
        <v>161</v>
      </c>
      <c r="G47" s="91" t="s">
        <v>162</v>
      </c>
      <c r="H47" s="21" t="s">
        <v>163</v>
      </c>
      <c r="I47" s="91" t="s">
        <v>164</v>
      </c>
      <c r="J47" s="91">
        <v>155</v>
      </c>
      <c r="K47" s="91" t="s">
        <v>487</v>
      </c>
      <c r="L47" s="91" t="s">
        <v>958</v>
      </c>
      <c r="M47" s="91" t="s">
        <v>36</v>
      </c>
      <c r="N47" s="21"/>
      <c r="O47" s="91" t="str">
        <f t="shared" si="5"/>
        <v>W</v>
      </c>
      <c r="P47" s="26" t="str">
        <f t="shared" si="11"/>
        <v>NX</v>
      </c>
      <c r="Q47" s="26" t="str">
        <f t="shared" si="12"/>
        <v>FN</v>
      </c>
      <c r="R47" s="26" t="str">
        <f t="shared" si="13"/>
        <v>Lv 3</v>
      </c>
      <c r="S47" s="26" t="str">
        <f t="shared" si="14"/>
        <v>Lv 2</v>
      </c>
      <c r="T47" s="84" t="str">
        <f t="shared" si="6"/>
        <v>W-NX-FN-Lv 3-Lv 2</v>
      </c>
      <c r="U47" s="5" t="str">
        <f t="shared" si="7"/>
        <v>ETC</v>
      </c>
      <c r="V47" s="5" t="str">
        <f t="shared" si="8"/>
        <v>PIP</v>
      </c>
      <c r="W47" s="138" t="str">
        <f t="shared" si="15"/>
        <v>ETC-PIP</v>
      </c>
      <c r="X47" s="5" t="str">
        <f t="shared" si="9"/>
        <v>⚠️ [포켓/하중 주의] 얇거나 신축성 있는 원단: 포켓 입구 벌어짐 및 처짐 방지 공정 필수</v>
      </c>
      <c r="Y47" s="88"/>
      <c r="Z47" s="88"/>
    </row>
    <row r="48" spans="1:26" s="4" customFormat="1" ht="84" customHeight="1">
      <c r="A48" s="91" t="s">
        <v>135</v>
      </c>
      <c r="B48" s="91" t="s">
        <v>861</v>
      </c>
      <c r="C48" s="91" t="s">
        <v>443</v>
      </c>
      <c r="D48" s="91" t="s">
        <v>961</v>
      </c>
      <c r="E48" s="91" t="s">
        <v>191</v>
      </c>
      <c r="F48" s="91" t="s">
        <v>192</v>
      </c>
      <c r="G48" s="91" t="s">
        <v>193</v>
      </c>
      <c r="H48" s="91" t="s">
        <v>156</v>
      </c>
      <c r="I48" s="91" t="s">
        <v>194</v>
      </c>
      <c r="J48" s="91">
        <v>122</v>
      </c>
      <c r="K48" s="21" t="s">
        <v>430</v>
      </c>
      <c r="L48" s="21" t="s">
        <v>962</v>
      </c>
      <c r="M48" s="21" t="s">
        <v>23</v>
      </c>
      <c r="N48" s="21"/>
      <c r="O48" s="91" t="str">
        <f t="shared" si="5"/>
        <v>W</v>
      </c>
      <c r="P48" s="26" t="str">
        <f t="shared" si="11"/>
        <v>P</v>
      </c>
      <c r="Q48" s="26" t="str">
        <f t="shared" si="12"/>
        <v>WP</v>
      </c>
      <c r="R48" s="26" t="str">
        <f t="shared" si="13"/>
        <v>Lv 1</v>
      </c>
      <c r="S48" s="26" t="str">
        <f t="shared" si="14"/>
        <v>Lv 2</v>
      </c>
      <c r="T48" s="84" t="str">
        <f t="shared" si="6"/>
        <v/>
      </c>
      <c r="U48" s="5" t="str">
        <f t="shared" si="7"/>
        <v>DTL</v>
      </c>
      <c r="V48" s="5" t="str">
        <f t="shared" si="8"/>
        <v>PLK</v>
      </c>
      <c r="W48" s="138" t="str">
        <f t="shared" si="15"/>
        <v/>
      </c>
      <c r="X48" s="5" t="str">
        <f t="shared" si="9"/>
        <v/>
      </c>
      <c r="Y48" s="88"/>
      <c r="Z48" s="88"/>
    </row>
    <row r="49" spans="1:26" s="4" customFormat="1" ht="84" customHeight="1">
      <c r="A49" s="91" t="s">
        <v>135</v>
      </c>
      <c r="B49" s="91" t="s">
        <v>861</v>
      </c>
      <c r="C49" s="91" t="s">
        <v>443</v>
      </c>
      <c r="D49" s="91" t="s">
        <v>961</v>
      </c>
      <c r="E49" s="91" t="s">
        <v>191</v>
      </c>
      <c r="F49" s="91" t="s">
        <v>192</v>
      </c>
      <c r="G49" s="91" t="s">
        <v>193</v>
      </c>
      <c r="H49" s="91" t="s">
        <v>156</v>
      </c>
      <c r="I49" s="91" t="s">
        <v>194</v>
      </c>
      <c r="J49" s="91">
        <v>122</v>
      </c>
      <c r="K49" s="21" t="s">
        <v>430</v>
      </c>
      <c r="L49" s="21" t="s">
        <v>963</v>
      </c>
      <c r="M49" s="21" t="s">
        <v>23</v>
      </c>
      <c r="N49" s="21"/>
      <c r="O49" s="91" t="str">
        <f t="shared" si="5"/>
        <v>W</v>
      </c>
      <c r="P49" s="26" t="str">
        <f t="shared" si="11"/>
        <v>P</v>
      </c>
      <c r="Q49" s="26" t="str">
        <f t="shared" si="12"/>
        <v>WP</v>
      </c>
      <c r="R49" s="26" t="str">
        <f t="shared" si="13"/>
        <v>Lv 1</v>
      </c>
      <c r="S49" s="26" t="str">
        <f t="shared" si="14"/>
        <v>Lv 2</v>
      </c>
      <c r="T49" s="84" t="str">
        <f t="shared" si="6"/>
        <v/>
      </c>
      <c r="U49" s="5" t="str">
        <f t="shared" si="7"/>
        <v>DTL</v>
      </c>
      <c r="V49" s="5" t="str">
        <f t="shared" si="8"/>
        <v>PLK</v>
      </c>
      <c r="W49" s="138" t="str">
        <f t="shared" si="15"/>
        <v/>
      </c>
      <c r="X49" s="5" t="str">
        <f t="shared" si="9"/>
        <v/>
      </c>
      <c r="Y49" s="88"/>
      <c r="Z49" s="88"/>
    </row>
    <row r="50" spans="1:26" s="4" customFormat="1" ht="84" customHeight="1">
      <c r="A50" s="91" t="s">
        <v>135</v>
      </c>
      <c r="B50" s="91" t="s">
        <v>861</v>
      </c>
      <c r="C50" s="91" t="s">
        <v>443</v>
      </c>
      <c r="D50" s="91" t="s">
        <v>961</v>
      </c>
      <c r="E50" s="91" t="s">
        <v>191</v>
      </c>
      <c r="F50" s="91" t="s">
        <v>192</v>
      </c>
      <c r="G50" s="91" t="s">
        <v>193</v>
      </c>
      <c r="H50" s="91" t="s">
        <v>156</v>
      </c>
      <c r="I50" s="91" t="s">
        <v>194</v>
      </c>
      <c r="J50" s="91">
        <v>122</v>
      </c>
      <c r="K50" s="21" t="s">
        <v>430</v>
      </c>
      <c r="L50" s="21" t="s">
        <v>964</v>
      </c>
      <c r="M50" s="21" t="s">
        <v>23</v>
      </c>
      <c r="N50" s="21"/>
      <c r="O50" s="91" t="str">
        <f t="shared" si="5"/>
        <v>W</v>
      </c>
      <c r="P50" s="26" t="str">
        <f t="shared" si="11"/>
        <v>P</v>
      </c>
      <c r="Q50" s="26" t="str">
        <f t="shared" si="12"/>
        <v>WP</v>
      </c>
      <c r="R50" s="26" t="str">
        <f t="shared" si="13"/>
        <v>Lv 1</v>
      </c>
      <c r="S50" s="26" t="str">
        <f t="shared" si="14"/>
        <v>Lv 2</v>
      </c>
      <c r="T50" s="84" t="str">
        <f t="shared" si="6"/>
        <v/>
      </c>
      <c r="U50" s="5" t="str">
        <f t="shared" si="7"/>
        <v>DTL</v>
      </c>
      <c r="V50" s="5" t="str">
        <f t="shared" si="8"/>
        <v>PLK</v>
      </c>
      <c r="W50" s="138" t="str">
        <f t="shared" si="15"/>
        <v/>
      </c>
      <c r="X50" s="5" t="str">
        <f t="shared" si="9"/>
        <v/>
      </c>
      <c r="Y50" s="88"/>
      <c r="Z50" s="88"/>
    </row>
    <row r="51" spans="1:26" s="4" customFormat="1" ht="84" customHeight="1">
      <c r="A51" s="91" t="s">
        <v>135</v>
      </c>
      <c r="B51" s="91" t="s">
        <v>861</v>
      </c>
      <c r="C51" s="91" t="s">
        <v>448</v>
      </c>
      <c r="D51" s="91" t="s">
        <v>965</v>
      </c>
      <c r="E51" s="91" t="s">
        <v>966</v>
      </c>
      <c r="F51" s="91" t="s">
        <v>161</v>
      </c>
      <c r="G51" s="91" t="s">
        <v>279</v>
      </c>
      <c r="H51" s="21" t="s">
        <v>156</v>
      </c>
      <c r="I51" s="91" t="s">
        <v>280</v>
      </c>
      <c r="J51" s="91">
        <v>180</v>
      </c>
      <c r="K51" s="91" t="s">
        <v>941</v>
      </c>
      <c r="L51" s="91" t="s">
        <v>967</v>
      </c>
      <c r="M51" s="91" t="s">
        <v>23</v>
      </c>
      <c r="N51" s="21"/>
      <c r="O51" s="91" t="str">
        <f t="shared" si="5"/>
        <v>W</v>
      </c>
      <c r="P51" s="26" t="str">
        <f t="shared" si="11"/>
        <v>P</v>
      </c>
      <c r="Q51" s="26" t="str">
        <f t="shared" si="12"/>
        <v>WP</v>
      </c>
      <c r="R51" s="26" t="str">
        <f t="shared" si="13"/>
        <v>Lv 1</v>
      </c>
      <c r="S51" s="26" t="str">
        <f t="shared" si="14"/>
        <v>Lv 3</v>
      </c>
      <c r="T51" s="84" t="str">
        <f t="shared" si="6"/>
        <v/>
      </c>
      <c r="U51" s="5" t="str">
        <f t="shared" si="7"/>
        <v>ST</v>
      </c>
      <c r="V51" s="5" t="str">
        <f t="shared" si="8"/>
        <v>REG</v>
      </c>
      <c r="W51" s="138" t="str">
        <f t="shared" si="15"/>
        <v/>
      </c>
      <c r="X51" s="5" t="str">
        <f t="shared" si="9"/>
        <v/>
      </c>
      <c r="Y51" s="88"/>
      <c r="Z51" s="88"/>
    </row>
    <row r="52" spans="1:26" s="4" customFormat="1" ht="84" customHeight="1">
      <c r="A52" s="91" t="s">
        <v>135</v>
      </c>
      <c r="B52" s="91" t="s">
        <v>861</v>
      </c>
      <c r="C52" s="91" t="s">
        <v>448</v>
      </c>
      <c r="D52" s="91" t="s">
        <v>224</v>
      </c>
      <c r="E52" s="91" t="s">
        <v>968</v>
      </c>
      <c r="F52" s="91" t="s">
        <v>68</v>
      </c>
      <c r="G52" s="91" t="s">
        <v>226</v>
      </c>
      <c r="H52" s="91" t="s">
        <v>227</v>
      </c>
      <c r="I52" s="91" t="s">
        <v>46</v>
      </c>
      <c r="J52" s="91">
        <v>345</v>
      </c>
      <c r="K52" s="91" t="s">
        <v>952</v>
      </c>
      <c r="L52" s="91" t="s">
        <v>969</v>
      </c>
      <c r="M52" s="91" t="s">
        <v>36</v>
      </c>
      <c r="N52" s="21" t="s">
        <v>970</v>
      </c>
      <c r="O52" s="91" t="str">
        <f t="shared" si="5"/>
        <v>W</v>
      </c>
      <c r="P52" s="26" t="str">
        <f t="shared" si="11"/>
        <v>CX</v>
      </c>
      <c r="Q52" s="26" t="str">
        <f t="shared" si="12"/>
        <v>ST</v>
      </c>
      <c r="R52" s="26" t="str">
        <f t="shared" si="13"/>
        <v>Lv 3</v>
      </c>
      <c r="S52" s="26" t="str">
        <f t="shared" si="14"/>
        <v>Lv 4</v>
      </c>
      <c r="T52" s="84" t="str">
        <f t="shared" si="6"/>
        <v>W-CX-ST-Lv 3-Lv 4</v>
      </c>
      <c r="U52" s="5" t="str">
        <f t="shared" si="7"/>
        <v>DTL</v>
      </c>
      <c r="V52" s="5" t="str">
        <f t="shared" si="8"/>
        <v>REG</v>
      </c>
      <c r="W52" s="138" t="str">
        <f t="shared" si="15"/>
        <v>DTL-REG</v>
      </c>
      <c r="X52" s="5" t="str">
        <f t="shared" si="9"/>
        <v>⚠️ [워싱/절개 변형] 워싱·탈색 공정 시 절개/요크 꿀렁임 및 스티치 보풀(필링) 주의</v>
      </c>
      <c r="Y52" s="88"/>
      <c r="Z52" s="88"/>
    </row>
    <row r="53" spans="1:26" s="4" customFormat="1" ht="84" customHeight="1">
      <c r="A53" s="91" t="s">
        <v>135</v>
      </c>
      <c r="B53" s="91" t="s">
        <v>861</v>
      </c>
      <c r="C53" s="91" t="s">
        <v>448</v>
      </c>
      <c r="D53" s="91" t="s">
        <v>224</v>
      </c>
      <c r="E53" s="91" t="s">
        <v>225</v>
      </c>
      <c r="F53" s="91" t="s">
        <v>68</v>
      </c>
      <c r="G53" s="91" t="s">
        <v>226</v>
      </c>
      <c r="H53" s="91" t="s">
        <v>227</v>
      </c>
      <c r="I53" s="91" t="s">
        <v>46</v>
      </c>
      <c r="J53" s="91">
        <v>345</v>
      </c>
      <c r="K53" s="91" t="s">
        <v>971</v>
      </c>
      <c r="L53" s="91" t="s">
        <v>972</v>
      </c>
      <c r="M53" s="91" t="s">
        <v>36</v>
      </c>
      <c r="N53" s="21" t="s">
        <v>973</v>
      </c>
      <c r="O53" s="91" t="str">
        <f t="shared" si="5"/>
        <v>W</v>
      </c>
      <c r="P53" s="26" t="str">
        <f t="shared" si="11"/>
        <v>CX</v>
      </c>
      <c r="Q53" s="26" t="str">
        <f t="shared" si="12"/>
        <v>ST</v>
      </c>
      <c r="R53" s="26" t="str">
        <f t="shared" si="13"/>
        <v>Lv 3</v>
      </c>
      <c r="S53" s="26" t="str">
        <f t="shared" si="14"/>
        <v>Lv 4</v>
      </c>
      <c r="T53" s="84" t="str">
        <f t="shared" si="6"/>
        <v>W-CX-ST-Lv 3-Lv 4</v>
      </c>
      <c r="U53" s="5" t="str">
        <f t="shared" si="7"/>
        <v>PKT</v>
      </c>
      <c r="V53" s="5" t="str">
        <f t="shared" si="8"/>
        <v>REG</v>
      </c>
      <c r="W53" s="138" t="str">
        <f t="shared" si="15"/>
        <v>PKT-REG</v>
      </c>
      <c r="X53" s="5" t="str">
        <f t="shared" si="9"/>
        <v>⚠️ [포켓/하중 주의] 얇거나 신축성 있는 원단: 포켓 입구 벌어짐 및 처짐 방지 공정 필수</v>
      </c>
      <c r="Y53" s="88"/>
      <c r="Z53" s="88"/>
    </row>
    <row r="54" spans="1:26" s="4" customFormat="1" ht="84" customHeight="1">
      <c r="A54" s="91" t="s">
        <v>135</v>
      </c>
      <c r="B54" s="91" t="s">
        <v>861</v>
      </c>
      <c r="C54" s="91" t="s">
        <v>448</v>
      </c>
      <c r="D54" s="91" t="s">
        <v>224</v>
      </c>
      <c r="E54" s="91" t="s">
        <v>225</v>
      </c>
      <c r="F54" s="91" t="s">
        <v>68</v>
      </c>
      <c r="G54" s="91" t="s">
        <v>226</v>
      </c>
      <c r="H54" s="91" t="s">
        <v>227</v>
      </c>
      <c r="I54" s="91" t="s">
        <v>46</v>
      </c>
      <c r="J54" s="91">
        <v>345</v>
      </c>
      <c r="K54" s="91" t="s">
        <v>952</v>
      </c>
      <c r="L54" s="91" t="s">
        <v>969</v>
      </c>
      <c r="M54" s="91" t="s">
        <v>36</v>
      </c>
      <c r="N54" s="21" t="s">
        <v>970</v>
      </c>
      <c r="O54" s="91" t="str">
        <f t="shared" si="5"/>
        <v>W</v>
      </c>
      <c r="P54" s="26" t="str">
        <f t="shared" si="11"/>
        <v>CX</v>
      </c>
      <c r="Q54" s="26" t="str">
        <f t="shared" si="12"/>
        <v>ST</v>
      </c>
      <c r="R54" s="26" t="str">
        <f t="shared" si="13"/>
        <v>Lv 3</v>
      </c>
      <c r="S54" s="26" t="str">
        <f t="shared" si="14"/>
        <v>Lv 4</v>
      </c>
      <c r="T54" s="84" t="str">
        <f t="shared" si="6"/>
        <v>W-CX-ST-Lv 3-Lv 4</v>
      </c>
      <c r="U54" s="5" t="str">
        <f t="shared" si="7"/>
        <v>DTL</v>
      </c>
      <c r="V54" s="5" t="str">
        <f t="shared" si="8"/>
        <v>REG</v>
      </c>
      <c r="W54" s="138" t="str">
        <f t="shared" si="15"/>
        <v>DTL-REG</v>
      </c>
      <c r="X54" s="5" t="str">
        <f t="shared" si="9"/>
        <v>⚠️ [워싱/절개 변형] 워싱·탈색 공정 시 절개/요크 꿀렁임 및 스티치 보풀(필링) 주의</v>
      </c>
      <c r="Y54" s="88"/>
      <c r="Z54" s="88"/>
    </row>
    <row r="55" spans="1:26" s="4" customFormat="1" ht="84" customHeight="1">
      <c r="A55" s="91" t="s">
        <v>135</v>
      </c>
      <c r="B55" s="91" t="s">
        <v>861</v>
      </c>
      <c r="C55" s="91" t="s">
        <v>974</v>
      </c>
      <c r="D55" s="91" t="s">
        <v>975</v>
      </c>
      <c r="E55" s="91" t="s">
        <v>976</v>
      </c>
      <c r="F55" s="91" t="s">
        <v>161</v>
      </c>
      <c r="G55" s="91" t="s">
        <v>162</v>
      </c>
      <c r="H55" s="21" t="s">
        <v>163</v>
      </c>
      <c r="I55" s="91" t="s">
        <v>164</v>
      </c>
      <c r="J55" s="91">
        <v>155</v>
      </c>
      <c r="K55" s="91" t="s">
        <v>977</v>
      </c>
      <c r="L55" s="91" t="s">
        <v>978</v>
      </c>
      <c r="M55" s="91" t="s">
        <v>23</v>
      </c>
      <c r="N55" s="21"/>
      <c r="O55" s="91" t="str">
        <f t="shared" si="5"/>
        <v>W</v>
      </c>
      <c r="P55" s="26" t="str">
        <f t="shared" si="11"/>
        <v>NX</v>
      </c>
      <c r="Q55" s="26" t="str">
        <f t="shared" si="12"/>
        <v>FN</v>
      </c>
      <c r="R55" s="26" t="str">
        <f t="shared" si="13"/>
        <v>Lv 3</v>
      </c>
      <c r="S55" s="26" t="str">
        <f t="shared" si="14"/>
        <v>Lv 2</v>
      </c>
      <c r="T55" s="84" t="str">
        <f t="shared" si="6"/>
        <v/>
      </c>
      <c r="U55" s="5" t="str">
        <f t="shared" si="7"/>
        <v>ETC</v>
      </c>
      <c r="V55" s="5" t="str">
        <f t="shared" si="8"/>
        <v>WLT</v>
      </c>
      <c r="W55" s="138" t="str">
        <f t="shared" si="15"/>
        <v/>
      </c>
      <c r="X55" s="5" t="str">
        <f t="shared" si="9"/>
        <v/>
      </c>
      <c r="Y55" s="88"/>
      <c r="Z55" s="88"/>
    </row>
    <row r="56" spans="1:26" s="4" customFormat="1" ht="84" customHeight="1">
      <c r="A56" s="91" t="s">
        <v>135</v>
      </c>
      <c r="B56" s="91" t="s">
        <v>861</v>
      </c>
      <c r="C56" s="91" t="s">
        <v>89</v>
      </c>
      <c r="D56" s="91" t="s">
        <v>979</v>
      </c>
      <c r="E56" s="91" t="s">
        <v>257</v>
      </c>
      <c r="F56" s="91" t="s">
        <v>258</v>
      </c>
      <c r="G56" s="91" t="s">
        <v>259</v>
      </c>
      <c r="H56" s="21" t="s">
        <v>156</v>
      </c>
      <c r="I56" s="91" t="s">
        <v>114</v>
      </c>
      <c r="J56" s="91">
        <v>230</v>
      </c>
      <c r="K56" s="91" t="s">
        <v>977</v>
      </c>
      <c r="L56" s="91" t="s">
        <v>980</v>
      </c>
      <c r="M56" s="91" t="s">
        <v>23</v>
      </c>
      <c r="N56" s="21"/>
      <c r="O56" s="91" t="str">
        <f t="shared" si="5"/>
        <v>W</v>
      </c>
      <c r="P56" s="26" t="str">
        <f t="shared" si="11"/>
        <v>P</v>
      </c>
      <c r="Q56" s="26" t="str">
        <f t="shared" si="12"/>
        <v>ST</v>
      </c>
      <c r="R56" s="26" t="str">
        <f t="shared" si="13"/>
        <v>Lv 1</v>
      </c>
      <c r="S56" s="26" t="str">
        <f t="shared" si="14"/>
        <v>Lv 3</v>
      </c>
      <c r="T56" s="84" t="str">
        <f t="shared" si="6"/>
        <v/>
      </c>
      <c r="U56" s="5" t="str">
        <f t="shared" si="7"/>
        <v>ETC</v>
      </c>
      <c r="V56" s="5" t="str">
        <f t="shared" si="8"/>
        <v>WLT</v>
      </c>
      <c r="W56" s="138" t="str">
        <f t="shared" si="15"/>
        <v/>
      </c>
      <c r="X56" s="5" t="str">
        <f t="shared" si="9"/>
        <v/>
      </c>
      <c r="Y56" s="88"/>
      <c r="Z56" s="88"/>
    </row>
    <row r="57" spans="1:26" s="4" customFormat="1" ht="84" customHeight="1">
      <c r="A57" s="91" t="s">
        <v>135</v>
      </c>
      <c r="B57" s="91" t="s">
        <v>861</v>
      </c>
      <c r="C57" s="91" t="s">
        <v>455</v>
      </c>
      <c r="D57" s="91" t="s">
        <v>981</v>
      </c>
      <c r="E57" s="91" t="s">
        <v>278</v>
      </c>
      <c r="F57" s="91" t="s">
        <v>161</v>
      </c>
      <c r="G57" s="91" t="s">
        <v>279</v>
      </c>
      <c r="H57" s="91" t="s">
        <v>156</v>
      </c>
      <c r="I57" s="91" t="s">
        <v>280</v>
      </c>
      <c r="J57" s="91">
        <v>180</v>
      </c>
      <c r="K57" s="91" t="s">
        <v>941</v>
      </c>
      <c r="L57" s="91" t="s">
        <v>967</v>
      </c>
      <c r="M57" s="91" t="s">
        <v>23</v>
      </c>
      <c r="N57" s="21"/>
      <c r="O57" s="91" t="str">
        <f t="shared" si="5"/>
        <v>W</v>
      </c>
      <c r="P57" s="26" t="str">
        <f t="shared" si="11"/>
        <v>P</v>
      </c>
      <c r="Q57" s="26" t="str">
        <f t="shared" si="12"/>
        <v>WP</v>
      </c>
      <c r="R57" s="26" t="str">
        <f t="shared" si="13"/>
        <v>Lv 1</v>
      </c>
      <c r="S57" s="26" t="str">
        <f t="shared" si="14"/>
        <v>Lv 3</v>
      </c>
      <c r="T57" s="84" t="str">
        <f t="shared" si="6"/>
        <v/>
      </c>
      <c r="U57" s="5" t="str">
        <f t="shared" si="7"/>
        <v>ST</v>
      </c>
      <c r="V57" s="5" t="str">
        <f t="shared" si="8"/>
        <v>REG</v>
      </c>
      <c r="W57" s="138" t="str">
        <f t="shared" si="15"/>
        <v/>
      </c>
      <c r="X57" s="5" t="str">
        <f t="shared" si="9"/>
        <v/>
      </c>
      <c r="Y57" s="88"/>
      <c r="Z57" s="88"/>
    </row>
    <row r="58" spans="1:26" s="4" customFormat="1" ht="84" customHeight="1">
      <c r="A58" s="91" t="s">
        <v>135</v>
      </c>
      <c r="B58" s="91" t="s">
        <v>861</v>
      </c>
      <c r="C58" s="91" t="s">
        <v>455</v>
      </c>
      <c r="D58" s="91" t="s">
        <v>928</v>
      </c>
      <c r="E58" s="91" t="s">
        <v>283</v>
      </c>
      <c r="F58" s="91" t="s">
        <v>161</v>
      </c>
      <c r="G58" s="91" t="s">
        <v>284</v>
      </c>
      <c r="H58" s="91" t="s">
        <v>70</v>
      </c>
      <c r="I58" s="91" t="s">
        <v>280</v>
      </c>
      <c r="J58" s="91">
        <v>92</v>
      </c>
      <c r="K58" s="91" t="s">
        <v>802</v>
      </c>
      <c r="L58" s="91" t="s">
        <v>982</v>
      </c>
      <c r="M58" s="91" t="s">
        <v>23</v>
      </c>
      <c r="N58" s="21"/>
      <c r="O58" s="91" t="str">
        <f t="shared" si="5"/>
        <v>W</v>
      </c>
      <c r="P58" s="26" t="str">
        <f t="shared" si="11"/>
        <v>N</v>
      </c>
      <c r="Q58" s="26" t="str">
        <f t="shared" si="12"/>
        <v>WP</v>
      </c>
      <c r="R58" s="26" t="str">
        <f t="shared" si="13"/>
        <v>Lv 1</v>
      </c>
      <c r="S58" s="26" t="str">
        <f t="shared" si="14"/>
        <v>Lv 2</v>
      </c>
      <c r="T58" s="84" t="str">
        <f t="shared" si="6"/>
        <v/>
      </c>
      <c r="U58" s="5" t="str">
        <f t="shared" si="7"/>
        <v>ETC</v>
      </c>
      <c r="V58" s="5" t="str">
        <f t="shared" si="8"/>
        <v>REG</v>
      </c>
      <c r="W58" s="138" t="str">
        <f t="shared" si="15"/>
        <v/>
      </c>
      <c r="X58" s="5" t="str">
        <f t="shared" si="9"/>
        <v/>
      </c>
      <c r="Y58" s="88"/>
      <c r="Z58" s="88"/>
    </row>
    <row r="59" spans="1:26" s="4" customFormat="1" ht="84" customHeight="1">
      <c r="A59" s="91" t="s">
        <v>135</v>
      </c>
      <c r="B59" s="91" t="s">
        <v>861</v>
      </c>
      <c r="C59" s="91" t="s">
        <v>455</v>
      </c>
      <c r="D59" s="91" t="s">
        <v>928</v>
      </c>
      <c r="E59" s="91" t="s">
        <v>983</v>
      </c>
      <c r="F59" s="91" t="s">
        <v>984</v>
      </c>
      <c r="G59" s="91" t="s">
        <v>985</v>
      </c>
      <c r="H59" s="91" t="s">
        <v>156</v>
      </c>
      <c r="I59" s="91" t="s">
        <v>208</v>
      </c>
      <c r="J59" s="91">
        <v>147</v>
      </c>
      <c r="K59" s="91" t="s">
        <v>430</v>
      </c>
      <c r="L59" s="91" t="s">
        <v>986</v>
      </c>
      <c r="M59" s="91" t="s">
        <v>23</v>
      </c>
      <c r="N59" s="21"/>
      <c r="O59" s="91" t="str">
        <f t="shared" si="5"/>
        <v>W</v>
      </c>
      <c r="P59" s="26" t="str">
        <f t="shared" si="11"/>
        <v>P</v>
      </c>
      <c r="Q59" s="26" t="str">
        <f t="shared" si="12"/>
        <v>WR</v>
      </c>
      <c r="R59" s="26" t="str">
        <f t="shared" si="13"/>
        <v>Lv 1</v>
      </c>
      <c r="S59" s="26" t="str">
        <f t="shared" si="14"/>
        <v>Lv 2</v>
      </c>
      <c r="T59" s="84" t="str">
        <f t="shared" si="6"/>
        <v/>
      </c>
      <c r="U59" s="5" t="str">
        <f t="shared" si="7"/>
        <v>DTL</v>
      </c>
      <c r="V59" s="5" t="str">
        <f t="shared" si="8"/>
        <v>PLK</v>
      </c>
      <c r="W59" s="138" t="str">
        <f t="shared" si="15"/>
        <v/>
      </c>
      <c r="X59" s="5" t="str">
        <f t="shared" si="9"/>
        <v/>
      </c>
      <c r="Y59" s="88"/>
      <c r="Z59" s="88"/>
    </row>
    <row r="60" spans="1:26" s="4" customFormat="1" ht="84" customHeight="1">
      <c r="A60" s="91" t="s">
        <v>135</v>
      </c>
      <c r="B60" s="91" t="s">
        <v>861</v>
      </c>
      <c r="C60" s="91" t="s">
        <v>455</v>
      </c>
      <c r="D60" s="91" t="s">
        <v>928</v>
      </c>
      <c r="E60" s="91" t="s">
        <v>987</v>
      </c>
      <c r="F60" s="91" t="s">
        <v>60</v>
      </c>
      <c r="G60" s="91" t="s">
        <v>512</v>
      </c>
      <c r="H60" s="91" t="s">
        <v>156</v>
      </c>
      <c r="I60" s="91" t="s">
        <v>203</v>
      </c>
      <c r="J60" s="91">
        <v>95</v>
      </c>
      <c r="K60" s="91" t="s">
        <v>430</v>
      </c>
      <c r="L60" s="91" t="s">
        <v>986</v>
      </c>
      <c r="M60" s="91" t="s">
        <v>23</v>
      </c>
      <c r="N60" s="21"/>
      <c r="O60" s="91" t="str">
        <f t="shared" si="5"/>
        <v>W</v>
      </c>
      <c r="P60" s="26" t="str">
        <f t="shared" si="11"/>
        <v>P</v>
      </c>
      <c r="Q60" s="26" t="str">
        <f t="shared" si="12"/>
        <v>WR</v>
      </c>
      <c r="R60" s="26" t="str">
        <f t="shared" si="13"/>
        <v>Lv 1</v>
      </c>
      <c r="S60" s="26" t="str">
        <f t="shared" si="14"/>
        <v>Lv 2</v>
      </c>
      <c r="T60" s="84" t="str">
        <f t="shared" si="6"/>
        <v/>
      </c>
      <c r="U60" s="5" t="str">
        <f t="shared" si="7"/>
        <v>DTL</v>
      </c>
      <c r="V60" s="5" t="str">
        <f t="shared" si="8"/>
        <v>PLK</v>
      </c>
      <c r="W60" s="138" t="str">
        <f t="shared" si="15"/>
        <v/>
      </c>
      <c r="X60" s="5" t="str">
        <f t="shared" si="9"/>
        <v/>
      </c>
      <c r="Y60" s="88"/>
      <c r="Z60" s="88"/>
    </row>
    <row r="61" spans="1:26" s="4" customFormat="1" ht="84" customHeight="1">
      <c r="A61" s="91" t="s">
        <v>135</v>
      </c>
      <c r="B61" s="91" t="s">
        <v>861</v>
      </c>
      <c r="C61" s="91" t="s">
        <v>443</v>
      </c>
      <c r="D61" s="91" t="s">
        <v>961</v>
      </c>
      <c r="E61" s="91" t="s">
        <v>988</v>
      </c>
      <c r="F61" s="91" t="s">
        <v>173</v>
      </c>
      <c r="G61" s="91" t="s">
        <v>186</v>
      </c>
      <c r="H61" s="91" t="s">
        <v>156</v>
      </c>
      <c r="I61" s="91" t="s">
        <v>187</v>
      </c>
      <c r="J61" s="91">
        <v>102</v>
      </c>
      <c r="K61" s="91" t="s">
        <v>430</v>
      </c>
      <c r="L61" s="91" t="s">
        <v>986</v>
      </c>
      <c r="M61" s="91" t="s">
        <v>23</v>
      </c>
      <c r="N61" s="21"/>
      <c r="O61" s="91" t="str">
        <f t="shared" si="5"/>
        <v>W</v>
      </c>
      <c r="P61" s="26" t="str">
        <f t="shared" si="11"/>
        <v>P</v>
      </c>
      <c r="Q61" s="26" t="str">
        <f t="shared" si="12"/>
        <v>WR</v>
      </c>
      <c r="R61" s="26" t="str">
        <f t="shared" si="13"/>
        <v>Lv 1</v>
      </c>
      <c r="S61" s="26" t="str">
        <f t="shared" si="14"/>
        <v>Lv 2</v>
      </c>
      <c r="T61" s="84" t="str">
        <f t="shared" si="6"/>
        <v/>
      </c>
      <c r="U61" s="5" t="str">
        <f t="shared" si="7"/>
        <v>DTL</v>
      </c>
      <c r="V61" s="5" t="str">
        <f t="shared" si="8"/>
        <v>PLK</v>
      </c>
      <c r="W61" s="138" t="str">
        <f t="shared" si="15"/>
        <v/>
      </c>
      <c r="X61" s="5" t="str">
        <f t="shared" si="9"/>
        <v/>
      </c>
      <c r="Y61" s="88"/>
      <c r="Z61" s="88"/>
    </row>
    <row r="62" spans="1:26" s="4" customFormat="1" ht="84" customHeight="1">
      <c r="A62" s="91" t="s">
        <v>135</v>
      </c>
      <c r="B62" s="91" t="s">
        <v>861</v>
      </c>
      <c r="C62" s="91" t="s">
        <v>448</v>
      </c>
      <c r="D62" s="91" t="s">
        <v>965</v>
      </c>
      <c r="E62" s="91" t="s">
        <v>989</v>
      </c>
      <c r="F62" s="91" t="s">
        <v>68</v>
      </c>
      <c r="G62" s="91" t="s">
        <v>990</v>
      </c>
      <c r="H62" s="91" t="s">
        <v>70</v>
      </c>
      <c r="I62" s="91" t="s">
        <v>35</v>
      </c>
      <c r="J62" s="91">
        <v>74</v>
      </c>
      <c r="K62" s="91" t="s">
        <v>430</v>
      </c>
      <c r="L62" s="91" t="s">
        <v>986</v>
      </c>
      <c r="M62" s="91" t="s">
        <v>23</v>
      </c>
      <c r="N62" s="21"/>
      <c r="O62" s="91" t="str">
        <f t="shared" si="5"/>
        <v>W</v>
      </c>
      <c r="P62" s="26" t="str">
        <f t="shared" si="11"/>
        <v>N</v>
      </c>
      <c r="Q62" s="26" t="str">
        <f t="shared" si="12"/>
        <v>WR</v>
      </c>
      <c r="R62" s="26" t="str">
        <f t="shared" si="13"/>
        <v>Lv 1</v>
      </c>
      <c r="S62" s="26" t="str">
        <f t="shared" si="14"/>
        <v>Lv 1</v>
      </c>
      <c r="T62" s="84" t="str">
        <f t="shared" si="6"/>
        <v/>
      </c>
      <c r="U62" s="5" t="str">
        <f t="shared" si="7"/>
        <v>DTL</v>
      </c>
      <c r="V62" s="5" t="str">
        <f t="shared" si="8"/>
        <v>PLK</v>
      </c>
      <c r="W62" s="138" t="str">
        <f t="shared" si="15"/>
        <v/>
      </c>
      <c r="X62" s="5" t="str">
        <f t="shared" si="9"/>
        <v/>
      </c>
      <c r="Y62" s="88"/>
      <c r="Z62" s="88"/>
    </row>
    <row r="63" spans="1:26" s="4" customFormat="1" ht="84" customHeight="1">
      <c r="A63" s="91" t="s">
        <v>135</v>
      </c>
      <c r="B63" s="91" t="s">
        <v>861</v>
      </c>
      <c r="C63" s="91" t="s">
        <v>448</v>
      </c>
      <c r="D63" s="91" t="s">
        <v>905</v>
      </c>
      <c r="E63" s="91" t="s">
        <v>991</v>
      </c>
      <c r="F63" s="91" t="s">
        <v>992</v>
      </c>
      <c r="G63" s="91" t="s">
        <v>993</v>
      </c>
      <c r="H63" s="91" t="s">
        <v>156</v>
      </c>
      <c r="I63" s="91" t="s">
        <v>994</v>
      </c>
      <c r="J63" s="91">
        <v>224</v>
      </c>
      <c r="K63" s="91" t="s">
        <v>430</v>
      </c>
      <c r="L63" s="91" t="s">
        <v>986</v>
      </c>
      <c r="M63" s="91" t="s">
        <v>23</v>
      </c>
      <c r="N63" s="21"/>
      <c r="O63" s="91" t="str">
        <f t="shared" si="5"/>
        <v>W</v>
      </c>
      <c r="P63" s="26" t="str">
        <f t="shared" si="11"/>
        <v>P</v>
      </c>
      <c r="Q63" s="26" t="str">
        <f t="shared" si="12"/>
        <v>WP</v>
      </c>
      <c r="R63" s="26" t="str">
        <f t="shared" si="13"/>
        <v>Lv 1</v>
      </c>
      <c r="S63" s="26" t="str">
        <f t="shared" si="14"/>
        <v>Lv 3</v>
      </c>
      <c r="T63" s="84" t="str">
        <f t="shared" si="6"/>
        <v/>
      </c>
      <c r="U63" s="5" t="str">
        <f t="shared" si="7"/>
        <v>DTL</v>
      </c>
      <c r="V63" s="5" t="str">
        <f t="shared" si="8"/>
        <v>PLK</v>
      </c>
      <c r="W63" s="138" t="str">
        <f t="shared" si="15"/>
        <v/>
      </c>
      <c r="X63" s="5" t="str">
        <f t="shared" si="9"/>
        <v/>
      </c>
      <c r="Y63" s="88"/>
      <c r="Z63" s="88"/>
    </row>
    <row r="64" spans="1:26" s="4" customFormat="1" ht="84" customHeight="1">
      <c r="A64" s="91" t="s">
        <v>135</v>
      </c>
      <c r="B64" s="91" t="s">
        <v>861</v>
      </c>
      <c r="C64" s="91" t="s">
        <v>453</v>
      </c>
      <c r="D64" s="91" t="s">
        <v>995</v>
      </c>
      <c r="E64" s="91" t="s">
        <v>996</v>
      </c>
      <c r="F64" s="91" t="s">
        <v>60</v>
      </c>
      <c r="G64" s="91" t="s">
        <v>997</v>
      </c>
      <c r="H64" s="91" t="s">
        <v>70</v>
      </c>
      <c r="I64" s="91" t="s">
        <v>998</v>
      </c>
      <c r="J64" s="91">
        <v>137</v>
      </c>
      <c r="K64" s="91" t="s">
        <v>430</v>
      </c>
      <c r="L64" s="91" t="s">
        <v>986</v>
      </c>
      <c r="M64" s="91" t="s">
        <v>23</v>
      </c>
      <c r="N64" s="21"/>
      <c r="O64" s="91" t="str">
        <f t="shared" si="5"/>
        <v>W</v>
      </c>
      <c r="P64" s="26" t="str">
        <f t="shared" si="11"/>
        <v>N</v>
      </c>
      <c r="Q64" s="26" t="str">
        <f t="shared" si="12"/>
        <v>WR</v>
      </c>
      <c r="R64" s="26" t="str">
        <f t="shared" si="13"/>
        <v>Lv 1</v>
      </c>
      <c r="S64" s="26" t="str">
        <f t="shared" si="14"/>
        <v>Lv 2</v>
      </c>
      <c r="T64" s="84" t="str">
        <f t="shared" si="6"/>
        <v/>
      </c>
      <c r="U64" s="5" t="str">
        <f t="shared" si="7"/>
        <v>DTL</v>
      </c>
      <c r="V64" s="5" t="str">
        <f t="shared" si="8"/>
        <v>PLK</v>
      </c>
      <c r="W64" s="138" t="str">
        <f t="shared" si="15"/>
        <v/>
      </c>
      <c r="X64" s="5" t="str">
        <f t="shared" si="9"/>
        <v/>
      </c>
      <c r="Y64" s="88"/>
      <c r="Z64" s="88"/>
    </row>
    <row r="65" spans="1:26" s="4" customFormat="1" ht="84" customHeight="1">
      <c r="A65" s="91" t="s">
        <v>135</v>
      </c>
      <c r="B65" s="91" t="s">
        <v>933</v>
      </c>
      <c r="C65" s="91" t="s">
        <v>999</v>
      </c>
      <c r="D65" s="91" t="s">
        <v>999</v>
      </c>
      <c r="E65" s="91" t="s">
        <v>1000</v>
      </c>
      <c r="F65" s="91" t="s">
        <v>466</v>
      </c>
      <c r="G65" s="91" t="s">
        <v>1001</v>
      </c>
      <c r="H65" s="91" t="s">
        <v>1002</v>
      </c>
      <c r="I65" s="91" t="s">
        <v>468</v>
      </c>
      <c r="J65" s="91">
        <v>12.6</v>
      </c>
      <c r="K65" s="91" t="s">
        <v>797</v>
      </c>
      <c r="L65" s="91" t="s">
        <v>1003</v>
      </c>
      <c r="M65" s="91" t="s">
        <v>36</v>
      </c>
      <c r="N65" s="21" t="s">
        <v>970</v>
      </c>
      <c r="O65" s="91" t="str">
        <f t="shared" si="5"/>
        <v>D</v>
      </c>
      <c r="P65" s="26" t="str">
        <f t="shared" si="11"/>
        <v>CX</v>
      </c>
      <c r="Q65" s="26" t="str">
        <f t="shared" si="12"/>
        <v>ST</v>
      </c>
      <c r="R65" s="26" t="str">
        <f t="shared" si="13"/>
        <v>Lv 3</v>
      </c>
      <c r="S65" s="26" t="str">
        <f t="shared" si="14"/>
        <v>Lv 1</v>
      </c>
      <c r="T65" s="84" t="str">
        <f t="shared" si="6"/>
        <v>D-CX-ST-Lv 3-Lv 1</v>
      </c>
      <c r="U65" s="5" t="str">
        <f t="shared" si="7"/>
        <v>DTL</v>
      </c>
      <c r="V65" s="5" t="str">
        <f t="shared" si="8"/>
        <v>REG</v>
      </c>
      <c r="W65" s="138" t="str">
        <f t="shared" si="15"/>
        <v>DTL-REG</v>
      </c>
      <c r="X65" s="5" t="str">
        <f t="shared" si="9"/>
        <v>⚠️ [워싱/절개 변형] 워싱·탈색 공정 시 절개/요크 꿀렁임 및 스티치 보풀(필링) 주의</v>
      </c>
      <c r="Y65" s="88"/>
      <c r="Z65" s="88"/>
    </row>
    <row r="66" spans="1:26" s="4" customFormat="1" ht="84" customHeight="1">
      <c r="A66" s="91" t="s">
        <v>484</v>
      </c>
      <c r="B66" s="91" t="s">
        <v>851</v>
      </c>
      <c r="C66" s="91" t="s">
        <v>852</v>
      </c>
      <c r="D66" s="91" t="s">
        <v>853</v>
      </c>
      <c r="E66" s="91" t="s">
        <v>1004</v>
      </c>
      <c r="F66" s="18" t="s">
        <v>125</v>
      </c>
      <c r="G66" s="18" t="s">
        <v>1005</v>
      </c>
      <c r="H66" s="8" t="s">
        <v>1006</v>
      </c>
      <c r="I66" s="8" t="s">
        <v>141</v>
      </c>
      <c r="J66" s="100">
        <v>260</v>
      </c>
      <c r="K66" s="91" t="s">
        <v>426</v>
      </c>
      <c r="L66" s="91" t="s">
        <v>1007</v>
      </c>
      <c r="M66" s="91" t="s">
        <v>23</v>
      </c>
      <c r="N66" s="21"/>
      <c r="O66" s="91" t="str">
        <f t="shared" si="5"/>
        <v>K</v>
      </c>
      <c r="P66" s="26" t="str">
        <f t="shared" ref="P66:P84" si="16">IF(H66="", "",
 IF(AND(ISNUMBER(SEARCH("Cotton", H66)), OR(ISNUMBER(SEARCH("Sorona", H66)), ISNUMBER(SEARCH("Polyester(Sorona)", H66)))), "CS",
  IF(AND(ISNUMBER(SEARCH("Nylon", H66)), OR(ISNUMBER(SEARCH("Span", H66)), ISNUMBER(SEARCH("Polyurethane", H66)), ISNUMBER(SEARCH("Elastane", H66)))), "NX",
   IF(AND(ISNUMBER(SEARCH("Nylon", H66)), NOT(OR(ISNUMBER(SEARCH("Cotton", H66)), ISNUMBER(SEARCH("Polyester", H66)), ISNUMBER(SEARCH("Rayon", H66)), ISNUMBER(SEARCH("Modal", H66)), ISNUMBER(SEARCH("Viscose", H66))))), "N",
    IF(AND(ISNUMBER(SEARCH("Cotton", H66)), NOT(OR(ISNUMBER(SEARCH("Polyester", H66)), ISNUMBER(SEARCH("Nylon", H66)), ISNUMBER(SEARCH("Rayon", H66)), ISNUMBER(SEARCH("Modal", H66)), ISNUMBER(SEARCH("Viscose", H66)), ISNUMBER(SEARCH("Polyurethane", H66)), ISNUMBER(SEARCH("Span", H66))))), "C",
     IF(ISNUMBER(SEARCH("Cotton", H66)), "CX",
      IF(AND(ISNUMBER(SEARCH("Polyester", H66)), NOT(OR(ISNUMBER(SEARCH("Cotton", H66)), ISNUMBER(SEARCH("Nylon", H66)), ISNUMBER(SEARCH("Wool", H66)), ISNUMBER(SEARCH("Rayon", H66))))), "P",
       "S")))))))</f>
        <v>CX</v>
      </c>
      <c r="Q66" s="26" t="str">
        <f t="shared" ref="Q66:Q84" si="17">IF(OR(I66="", I66="X", I66="None"), "ST",
 IF(OR(ISNUMBER(SEARCH("Layer", I66)), ISNUMBER(SEARCH("Lamination", I66)), ISNUMBER(SEARCH("TPU", I66)), ISNUMBER(SEARCH("PU", I66))), "WP",
  IF(OR(ISNUMBER(SEARCH("WR", I66)), ISNUMBER(SEARCH("DWR", I66)), ISNUMBER(SEARCH("Cire", I66)), ISNUMBER(SEARCH("Coating", I66)), ISNUMBER(SEARCH("Print", I66))), "WR",
   IF(OR(ISNUMBER(SEARCH("Bio", I66)), ISNUMBER(SEARCH("Enzyme", I66)), ISNUMBER(SEARCH("Peach", I66)), ISNUMBER(SEARCH("Brush", I66)), ISNUMBER(SEARCH("Tumble", I66)), ISNUMBER(SEARCH("Airo", I66))), "AF",
    IF(OR(ISNUMBER(SEARCH("UV", I66)), ISNUMBER(SEARCH("Dry", I66)), ISNUMBER(SEARCH("Wick", I66)), ISNUMBER(SEARCH("Hydrolysis", I66))), "FN",
     "ST")))))</f>
        <v>ST</v>
      </c>
      <c r="R66" s="26" t="str">
        <f t="shared" ref="R66:R84" si="18">IF(H66="", "",
 IF(OR(ISNUMBER(SEARCH("Span",H66)), ISNUMBER(SEARCH("Polyurethane",H66)), ISNUMBER(SEARCH("PU",H66))),
    IF(IFERROR(VALUE(LEFT(SUBSTITUTE(MID(H66,SEARCH("%",H66)-3,3),",",""),2)),0)&gt;=12, "Lv 5",
    IF(IFERROR(VALUE(LEFT(SUBSTITUTE(MID(H66,SEARCH("%",H66)-3,3),",",""),2)),0)&gt;=6, "Lv 4", "Lv 3")),
    IF(OR(ISNUMBER(SEARCH("Sorona",H66)), ISNUMBER(SEARCH("T400",H66)), ISNUMBER(SEARCH("Knit",H66))), "Lv 2", "Lv 1")
 ))</f>
        <v>Lv 3</v>
      </c>
      <c r="S66" s="26" t="str">
        <f t="shared" ref="S66:S84" si="19">IF(OR(J66="", J66=0), "",
 IF(J66&lt;=80, "Lv 1",
  IF(J66&lt;=160, "Lv 2",
   IF(J66&lt;=260, "Lv 3",
    IF(J66&lt;=360, "Lv 4",
     "Lv 5")))))</f>
        <v>Lv 3</v>
      </c>
      <c r="T66" s="84" t="str">
        <f t="shared" si="6"/>
        <v/>
      </c>
      <c r="U66" s="5" t="str">
        <f t="shared" si="7"/>
        <v>DTL</v>
      </c>
      <c r="V66" s="5" t="str">
        <f t="shared" si="8"/>
        <v>RGL</v>
      </c>
      <c r="W66" s="138" t="str">
        <f t="shared" si="15"/>
        <v/>
      </c>
      <c r="X66" s="5" t="str">
        <f t="shared" si="9"/>
        <v/>
      </c>
      <c r="Y66" s="88"/>
      <c r="Z66" s="88"/>
    </row>
    <row r="67" spans="1:26" s="4" customFormat="1" ht="84" customHeight="1">
      <c r="A67" s="91" t="s">
        <v>484</v>
      </c>
      <c r="B67" s="91" t="s">
        <v>851</v>
      </c>
      <c r="C67" s="91" t="s">
        <v>852</v>
      </c>
      <c r="D67" s="91" t="s">
        <v>853</v>
      </c>
      <c r="E67" s="91" t="s">
        <v>1008</v>
      </c>
      <c r="F67" s="14" t="s">
        <v>125</v>
      </c>
      <c r="G67" s="18" t="s">
        <v>1009</v>
      </c>
      <c r="H67" s="14" t="s">
        <v>1010</v>
      </c>
      <c r="I67" s="14" t="s">
        <v>141</v>
      </c>
      <c r="J67" s="91">
        <v>270</v>
      </c>
      <c r="K67" s="91" t="s">
        <v>487</v>
      </c>
      <c r="L67" s="91" t="s">
        <v>1011</v>
      </c>
      <c r="M67" s="91" t="s">
        <v>36</v>
      </c>
      <c r="N67" s="21" t="s">
        <v>1012</v>
      </c>
      <c r="O67" s="91" t="str">
        <f t="shared" ref="O67:O84" si="20">_xlfn.IFS(B67="다이마루","K",B67="우븐","W",B67="스웨터","S",B67="데님","D")</f>
        <v>K</v>
      </c>
      <c r="P67" s="26" t="str">
        <f t="shared" si="16"/>
        <v>NX</v>
      </c>
      <c r="Q67" s="26" t="str">
        <f t="shared" si="17"/>
        <v>ST</v>
      </c>
      <c r="R67" s="26" t="str">
        <f t="shared" si="18"/>
        <v>Lv 3</v>
      </c>
      <c r="S67" s="26" t="str">
        <f t="shared" si="19"/>
        <v>Lv 4</v>
      </c>
      <c r="T67" s="84" t="str">
        <f t="shared" ref="T67:T84" si="21">IF(M67="O", _xlfn.TEXTJOIN("-", TRUE, O67:S67), "")</f>
        <v>K-NX-ST-Lv 3-Lv 4</v>
      </c>
      <c r="U67" s="5" t="str">
        <f t="shared" ref="U67:U84" si="22">IF(OR(ISNUMBER(SEARCH("스티치", K67)), ISNUMBER(SEARCH("가이루빠", K67)), ISNUMBER(SEARCH("수소", K67))), "ST",
 IF(OR(ISNUMBER(SEARCH("카라", K67)), ISNUMBER(SEARCH("넥", K67)), ISNUMBER(SEARCH("바인딩", K67))), "NK",
  IF(ISNUMBER(SEARCH("포켓", K67)), "PKT",
   IF(OR(ISNUMBER(SEARCH("요크", K67)), ISNUMBER(SEARCH("절개", K67)), ISNUMBER(SEARCH("라글란", K67)), ISNUMBER(SEARCH("플라켓", K67))), "DTL",
    IF(OR(ISNUMBER(SEARCH("심실링", K67)), ISNUMBER(SEARCH("웰딩", K67))), "ADH", "ETC")))))</f>
        <v>ETC</v>
      </c>
      <c r="V67" s="5" t="str">
        <f t="shared" ref="V67:V84" si="23">IF(ISNUMBER(SEARCH("1/4", K67)), "QTR",
 IF(OR(ISNUMBER(SEARCH("1/16", K67)), ISNUMBER(SEARCH("싱글", K67))), "SGL",
  IF(ISNUMBER(SEARCH("가이루빠", K67)), "FL",
   IF(ISNUMBER(SEARCH("수소", K67)), "BLD",
    IF(ISNUMBER(SEARCH("재원단", K67)), "SELF",
     IF(ISNUMBER(SEARCH("바인딩", K67)), "BND",
      IF(ISNUMBER(SEARCH("파이핑", K67)), "PIP",
       IF(ISNUMBER(SEARCH("카고", K67)), "CGO",
        IF(OR(ISNUMBER(SEARCH("구찌", K67)), ISNUMBER(SEARCH("웰트", K67))), "WLT",
         IF(OR(ISNUMBER(SEARCH("후다", K67)), ISNUMBER(SEARCH("플랩", K67))), "FLP",
          IF(ISNUMBER(SEARCH("라글란", K67)), "RGL",
           IF(ISNUMBER(SEARCH("플라켓", K67)), "PLK", "REG"))))))))))))</f>
        <v>PIP</v>
      </c>
      <c r="W67" s="138" t="str">
        <f t="shared" si="15"/>
        <v>ETC-PIP</v>
      </c>
      <c r="X67" s="5" t="str">
        <f t="shared" ref="X67:X84" si="24">IF(OR(T67="", W67=""), "",
IF(AND(OR(ISNUMBER(SEARCH("DTL", W67)), ISNUMBER(SEARCH("ST", W67))), OR(ISNUMBER(SEARCH("D", LEFT(T67,1))), ISNUMBER(SEARCH("Wash", T67)), ISNUMBER(SEARCH("Wash", I67)), ISNUMBER(SEARCH("Wash", G67)), ISNUMBER(SEARCH("Bleach", I67)), ISNUMBER(SEARCH("Desizing", I67)))), "⚠️ [워싱/절개 변형] 워싱·탈색 공정 시 절개/요크 꿀렁임 및 스티치 보풀(필링) 주의",
IF(AND(OR(ISNUMBER(SEARCH("PKT", W67)), ISNUMBER(SEARCH("ETC", W67)), ISNUMBER(SEARCH("FLP", W67))), OR(ISNUMBER(SEARCH("Lv 1", T67)), ISNUMBER(SEARCH("Lv 2", T67)), ISNUMBER(SEARCH("CX", T67)), ISNUMBER(SEARCH("ST", T67)))), "⚠️ [포켓/하중 주의] 얇거나 신축성 있는 원단: 포켓 입구 벌어짐 및 처짐 방지 공정 필수",
IF(AND(ISNUMBER(SEARCH("NK", W67)), OR(ISNUMBER(SEARCH("Lv 4", T67)), ISNUMBER(SEARCH("Lv 5", T67)))), "⚠️ [넥 변형 주의] 고중량 소재 카라 놓임 불량 및 라인 왜곡 확인",
IF(AND(ISNUMBER(SEARCH("SEA", W67)), OR(ISNUMBER(SEARCH("WP", T67)), ISNUMBER(SEARCH("PU", T67)))), "⚠️ [밀림 주의] 방수 코팅면 심실링 밀림 및 접착 불량 유발",
IF(AND(ISNUMBER(SEARCH("FILM", W67)), ISNUMBER(SEARCH("N", T67))), "⚠️ [열변색 주의] 나일론 고온 압착 시 승화 이염 및 수축 테스트 필수",
IF(OR(ISNUMBER(SEARCH("BND", W67)), ISNUMBER(SEARCH("PIP", W67))), "⚠️ [꼬임 주의] 바인딩/파이핑 작업 시 커브 구간 뒤틀림 점검",
IF(AND(ISNUMBER(SEARCH("HEAVY", W67)), ISNUMBER(SEARCH("Lv 1", T67))), "⚠️ [원단 데미지] 초경량 원단 자수 밀도 과다에 의한 찢어짐 주의",
"✅ 정상"))))))))</f>
        <v>⚠️ [포켓/하중 주의] 얇거나 신축성 있는 원단: 포켓 입구 벌어짐 및 처짐 방지 공정 필수</v>
      </c>
      <c r="Y67" s="88"/>
      <c r="Z67" s="88"/>
    </row>
    <row r="68" spans="1:26" s="4" customFormat="1" ht="84" customHeight="1">
      <c r="A68" s="91" t="s">
        <v>484</v>
      </c>
      <c r="B68" s="91" t="s">
        <v>851</v>
      </c>
      <c r="C68" s="91" t="s">
        <v>479</v>
      </c>
      <c r="D68" s="91" t="s">
        <v>1013</v>
      </c>
      <c r="E68" s="91" t="s">
        <v>1014</v>
      </c>
      <c r="F68" s="14" t="s">
        <v>52</v>
      </c>
      <c r="G68" s="18" t="s">
        <v>1015</v>
      </c>
      <c r="H68" s="14" t="s">
        <v>45</v>
      </c>
      <c r="I68" s="14" t="s">
        <v>35</v>
      </c>
      <c r="J68" s="18">
        <v>128</v>
      </c>
      <c r="K68" s="91" t="s">
        <v>426</v>
      </c>
      <c r="L68" s="21" t="s">
        <v>1007</v>
      </c>
      <c r="M68" s="21" t="s">
        <v>23</v>
      </c>
      <c r="N68" s="21"/>
      <c r="O68" s="91" t="str">
        <f t="shared" si="20"/>
        <v>K</v>
      </c>
      <c r="P68" s="26" t="str">
        <f t="shared" si="16"/>
        <v>NX</v>
      </c>
      <c r="Q68" s="26" t="str">
        <f t="shared" si="17"/>
        <v>WR</v>
      </c>
      <c r="R68" s="26" t="str">
        <f t="shared" si="18"/>
        <v>Lv 3</v>
      </c>
      <c r="S68" s="26" t="str">
        <f t="shared" si="19"/>
        <v>Lv 2</v>
      </c>
      <c r="T68" s="84" t="str">
        <f t="shared" si="21"/>
        <v/>
      </c>
      <c r="U68" s="5" t="str">
        <f t="shared" si="22"/>
        <v>DTL</v>
      </c>
      <c r="V68" s="5" t="str">
        <f t="shared" si="23"/>
        <v>RGL</v>
      </c>
      <c r="W68" s="138" t="str">
        <f t="shared" si="15"/>
        <v/>
      </c>
      <c r="X68" s="5" t="str">
        <f t="shared" si="24"/>
        <v/>
      </c>
      <c r="Y68" s="88"/>
      <c r="Z68" s="88"/>
    </row>
    <row r="69" spans="1:26" s="4" customFormat="1" ht="84" customHeight="1">
      <c r="A69" s="91" t="s">
        <v>484</v>
      </c>
      <c r="B69" s="91" t="s">
        <v>851</v>
      </c>
      <c r="C69" s="91" t="s">
        <v>479</v>
      </c>
      <c r="D69" s="91" t="s">
        <v>1016</v>
      </c>
      <c r="E69" s="91" t="s">
        <v>1017</v>
      </c>
      <c r="F69" s="14" t="s">
        <v>1018</v>
      </c>
      <c r="G69" s="18" t="s">
        <v>1019</v>
      </c>
      <c r="H69" s="100" t="s">
        <v>121</v>
      </c>
      <c r="I69" s="100" t="s">
        <v>857</v>
      </c>
      <c r="J69" s="100">
        <v>340</v>
      </c>
      <c r="K69" s="91" t="s">
        <v>949</v>
      </c>
      <c r="L69" s="21" t="s">
        <v>1020</v>
      </c>
      <c r="M69" s="21" t="s">
        <v>23</v>
      </c>
      <c r="N69" s="21"/>
      <c r="O69" s="91" t="str">
        <f t="shared" si="20"/>
        <v>K</v>
      </c>
      <c r="P69" s="26" t="str">
        <f t="shared" si="16"/>
        <v>CS</v>
      </c>
      <c r="Q69" s="26" t="str">
        <f t="shared" si="17"/>
        <v>AF</v>
      </c>
      <c r="R69" s="26" t="str">
        <f t="shared" si="18"/>
        <v>Lv 2</v>
      </c>
      <c r="S69" s="26" t="str">
        <f t="shared" si="19"/>
        <v>Lv 4</v>
      </c>
      <c r="T69" s="84" t="str">
        <f t="shared" si="21"/>
        <v/>
      </c>
      <c r="U69" s="5" t="str">
        <f t="shared" si="22"/>
        <v>ST</v>
      </c>
      <c r="V69" s="5" t="str">
        <f t="shared" si="23"/>
        <v>BLD</v>
      </c>
      <c r="W69" s="138" t="str">
        <f t="shared" si="15"/>
        <v/>
      </c>
      <c r="X69" s="5" t="str">
        <f t="shared" si="24"/>
        <v/>
      </c>
    </row>
    <row r="70" spans="1:26" s="4" customFormat="1" ht="84" customHeight="1">
      <c r="A70" s="98" t="s">
        <v>484</v>
      </c>
      <c r="B70" s="98" t="s">
        <v>861</v>
      </c>
      <c r="C70" s="98" t="s">
        <v>443</v>
      </c>
      <c r="D70" s="99" t="s">
        <v>1021</v>
      </c>
      <c r="E70" s="98" t="s">
        <v>1023</v>
      </c>
      <c r="F70" s="101" t="s">
        <v>161</v>
      </c>
      <c r="G70" s="98" t="s">
        <v>279</v>
      </c>
      <c r="H70" s="122" t="s">
        <v>156</v>
      </c>
      <c r="I70" s="125" t="s">
        <v>280</v>
      </c>
      <c r="J70" s="126">
        <v>180</v>
      </c>
      <c r="K70" s="99" t="s">
        <v>1024</v>
      </c>
      <c r="L70" s="99" t="s">
        <v>1025</v>
      </c>
      <c r="M70" s="99" t="s">
        <v>23</v>
      </c>
      <c r="N70" s="99"/>
      <c r="O70" s="91" t="str">
        <f t="shared" si="20"/>
        <v>W</v>
      </c>
      <c r="P70" s="26" t="str">
        <f t="shared" si="16"/>
        <v>P</v>
      </c>
      <c r="Q70" s="26" t="str">
        <f t="shared" si="17"/>
        <v>WP</v>
      </c>
      <c r="R70" s="26" t="str">
        <f t="shared" si="18"/>
        <v>Lv 1</v>
      </c>
      <c r="S70" s="26" t="str">
        <f t="shared" si="19"/>
        <v>Lv 3</v>
      </c>
      <c r="T70" s="84" t="str">
        <f t="shared" si="21"/>
        <v/>
      </c>
      <c r="U70" s="5" t="str">
        <f t="shared" si="22"/>
        <v>PKT</v>
      </c>
      <c r="V70" s="5" t="str">
        <f t="shared" si="23"/>
        <v>REG</v>
      </c>
      <c r="W70" s="138" t="str">
        <f t="shared" si="15"/>
        <v/>
      </c>
      <c r="X70" s="5" t="str">
        <f t="shared" si="24"/>
        <v/>
      </c>
    </row>
    <row r="71" spans="1:26" s="4" customFormat="1" ht="84" customHeight="1">
      <c r="A71" s="98" t="s">
        <v>484</v>
      </c>
      <c r="B71" s="98" t="s">
        <v>861</v>
      </c>
      <c r="C71" s="98" t="s">
        <v>443</v>
      </c>
      <c r="D71" s="99" t="s">
        <v>1021</v>
      </c>
      <c r="E71" s="98" t="s">
        <v>1023</v>
      </c>
      <c r="F71" s="101" t="s">
        <v>161</v>
      </c>
      <c r="G71" s="98" t="s">
        <v>279</v>
      </c>
      <c r="H71" s="122" t="s">
        <v>156</v>
      </c>
      <c r="I71" s="125" t="s">
        <v>280</v>
      </c>
      <c r="J71" s="126">
        <v>180</v>
      </c>
      <c r="K71" s="99" t="s">
        <v>1024</v>
      </c>
      <c r="L71" s="99" t="s">
        <v>1025</v>
      </c>
      <c r="M71" s="99" t="s">
        <v>23</v>
      </c>
      <c r="N71" s="99"/>
      <c r="O71" s="91" t="str">
        <f t="shared" si="20"/>
        <v>W</v>
      </c>
      <c r="P71" s="26" t="str">
        <f t="shared" si="16"/>
        <v>P</v>
      </c>
      <c r="Q71" s="26" t="str">
        <f t="shared" si="17"/>
        <v>WP</v>
      </c>
      <c r="R71" s="26" t="str">
        <f t="shared" si="18"/>
        <v>Lv 1</v>
      </c>
      <c r="S71" s="26" t="str">
        <f t="shared" si="19"/>
        <v>Lv 3</v>
      </c>
      <c r="T71" s="84" t="str">
        <f t="shared" si="21"/>
        <v/>
      </c>
      <c r="U71" s="5" t="str">
        <f t="shared" si="22"/>
        <v>PKT</v>
      </c>
      <c r="V71" s="5" t="str">
        <f t="shared" si="23"/>
        <v>REG</v>
      </c>
      <c r="W71" s="138" t="str">
        <f t="shared" si="15"/>
        <v/>
      </c>
      <c r="X71" s="5" t="str">
        <f t="shared" si="24"/>
        <v/>
      </c>
    </row>
    <row r="72" spans="1:26" s="4" customFormat="1" ht="84" customHeight="1">
      <c r="A72" s="98" t="s">
        <v>484</v>
      </c>
      <c r="B72" s="98" t="s">
        <v>861</v>
      </c>
      <c r="C72" s="98" t="s">
        <v>443</v>
      </c>
      <c r="D72" s="99" t="s">
        <v>1021</v>
      </c>
      <c r="E72" s="98" t="s">
        <v>1023</v>
      </c>
      <c r="F72" s="101" t="s">
        <v>161</v>
      </c>
      <c r="G72" s="98" t="s">
        <v>279</v>
      </c>
      <c r="H72" s="122" t="s">
        <v>156</v>
      </c>
      <c r="I72" s="125" t="s">
        <v>280</v>
      </c>
      <c r="J72" s="126">
        <v>180</v>
      </c>
      <c r="K72" s="99" t="s">
        <v>459</v>
      </c>
      <c r="L72" s="99" t="s">
        <v>1025</v>
      </c>
      <c r="M72" s="99" t="s">
        <v>23</v>
      </c>
      <c r="N72" s="99"/>
      <c r="O72" s="91" t="str">
        <f t="shared" si="20"/>
        <v>W</v>
      </c>
      <c r="P72" s="26" t="str">
        <f t="shared" si="16"/>
        <v>P</v>
      </c>
      <c r="Q72" s="26" t="str">
        <f t="shared" si="17"/>
        <v>WP</v>
      </c>
      <c r="R72" s="26" t="str">
        <f t="shared" si="18"/>
        <v>Lv 1</v>
      </c>
      <c r="S72" s="26" t="str">
        <f t="shared" si="19"/>
        <v>Lv 3</v>
      </c>
      <c r="T72" s="84" t="str">
        <f t="shared" si="21"/>
        <v/>
      </c>
      <c r="U72" s="5" t="str">
        <f t="shared" si="22"/>
        <v>PKT</v>
      </c>
      <c r="V72" s="5" t="str">
        <f t="shared" si="23"/>
        <v>REG</v>
      </c>
      <c r="W72" s="138" t="str">
        <f t="shared" ref="W72:W84" si="25">IF(M72="O", _xlfn.TEXTJOIN("-", TRUE, U72:V72), "")</f>
        <v/>
      </c>
      <c r="X72" s="5" t="str">
        <f t="shared" si="24"/>
        <v/>
      </c>
    </row>
    <row r="73" spans="1:26" s="4" customFormat="1" ht="84" customHeight="1">
      <c r="A73" s="98" t="s">
        <v>484</v>
      </c>
      <c r="B73" s="98" t="s">
        <v>861</v>
      </c>
      <c r="C73" s="98" t="s">
        <v>443</v>
      </c>
      <c r="D73" s="99" t="s">
        <v>1021</v>
      </c>
      <c r="E73" s="98" t="s">
        <v>1023</v>
      </c>
      <c r="F73" s="101" t="s">
        <v>161</v>
      </c>
      <c r="G73" s="98" t="s">
        <v>279</v>
      </c>
      <c r="H73" s="122" t="s">
        <v>156</v>
      </c>
      <c r="I73" s="125" t="s">
        <v>280</v>
      </c>
      <c r="J73" s="126">
        <v>180</v>
      </c>
      <c r="K73" s="99" t="s">
        <v>459</v>
      </c>
      <c r="L73" s="99" t="s">
        <v>1025</v>
      </c>
      <c r="M73" s="99" t="s">
        <v>23</v>
      </c>
      <c r="N73" s="99"/>
      <c r="O73" s="91" t="str">
        <f t="shared" si="20"/>
        <v>W</v>
      </c>
      <c r="P73" s="26" t="str">
        <f t="shared" si="16"/>
        <v>P</v>
      </c>
      <c r="Q73" s="26" t="str">
        <f t="shared" si="17"/>
        <v>WP</v>
      </c>
      <c r="R73" s="26" t="str">
        <f t="shared" si="18"/>
        <v>Lv 1</v>
      </c>
      <c r="S73" s="26" t="str">
        <f t="shared" si="19"/>
        <v>Lv 3</v>
      </c>
      <c r="T73" s="84" t="str">
        <f t="shared" si="21"/>
        <v/>
      </c>
      <c r="U73" s="5" t="str">
        <f t="shared" si="22"/>
        <v>PKT</v>
      </c>
      <c r="V73" s="5" t="str">
        <f t="shared" si="23"/>
        <v>REG</v>
      </c>
      <c r="W73" s="138" t="str">
        <f t="shared" si="25"/>
        <v/>
      </c>
      <c r="X73" s="5" t="str">
        <f t="shared" si="24"/>
        <v/>
      </c>
    </row>
    <row r="74" spans="1:26" s="4" customFormat="1" ht="84" customHeight="1">
      <c r="A74" s="91" t="s">
        <v>484</v>
      </c>
      <c r="B74" s="91" t="s">
        <v>861</v>
      </c>
      <c r="C74" s="91" t="s">
        <v>443</v>
      </c>
      <c r="D74" s="91" t="s">
        <v>1027</v>
      </c>
      <c r="E74" s="91" t="s">
        <v>1028</v>
      </c>
      <c r="F74" s="14" t="s">
        <v>210</v>
      </c>
      <c r="G74" s="18" t="s">
        <v>1029</v>
      </c>
      <c r="H74" s="14" t="s">
        <v>156</v>
      </c>
      <c r="I74" s="18" t="s">
        <v>213</v>
      </c>
      <c r="J74" s="18">
        <v>121</v>
      </c>
      <c r="K74" s="91" t="s">
        <v>941</v>
      </c>
      <c r="L74" s="21" t="s">
        <v>1030</v>
      </c>
      <c r="M74" s="21" t="s">
        <v>23</v>
      </c>
      <c r="N74" s="21"/>
      <c r="O74" s="91" t="str">
        <f t="shared" si="20"/>
        <v>W</v>
      </c>
      <c r="P74" s="26" t="str">
        <f t="shared" si="16"/>
        <v>P</v>
      </c>
      <c r="Q74" s="26" t="str">
        <f t="shared" si="17"/>
        <v>WP</v>
      </c>
      <c r="R74" s="26" t="str">
        <f t="shared" si="18"/>
        <v>Lv 1</v>
      </c>
      <c r="S74" s="26" t="str">
        <f t="shared" si="19"/>
        <v>Lv 2</v>
      </c>
      <c r="T74" s="84" t="str">
        <f t="shared" si="21"/>
        <v/>
      </c>
      <c r="U74" s="5" t="str">
        <f t="shared" si="22"/>
        <v>ST</v>
      </c>
      <c r="V74" s="5" t="str">
        <f t="shared" si="23"/>
        <v>REG</v>
      </c>
      <c r="W74" s="138" t="str">
        <f t="shared" si="25"/>
        <v/>
      </c>
      <c r="X74" s="5" t="str">
        <f t="shared" si="24"/>
        <v/>
      </c>
    </row>
    <row r="75" spans="1:26" s="4" customFormat="1" ht="84" customHeight="1">
      <c r="A75" s="91" t="s">
        <v>484</v>
      </c>
      <c r="B75" s="91" t="s">
        <v>861</v>
      </c>
      <c r="C75" s="91" t="s">
        <v>974</v>
      </c>
      <c r="D75" s="91" t="s">
        <v>1031</v>
      </c>
      <c r="E75" s="91" t="s">
        <v>1032</v>
      </c>
      <c r="F75" s="14" t="s">
        <v>161</v>
      </c>
      <c r="G75" s="18" t="s">
        <v>1033</v>
      </c>
      <c r="H75" s="14" t="s">
        <v>156</v>
      </c>
      <c r="I75" s="18" t="s">
        <v>35</v>
      </c>
      <c r="J75" s="18">
        <v>180</v>
      </c>
      <c r="K75" s="91" t="s">
        <v>436</v>
      </c>
      <c r="L75" s="21" t="s">
        <v>1034</v>
      </c>
      <c r="M75" s="21" t="s">
        <v>23</v>
      </c>
      <c r="N75" s="21"/>
      <c r="O75" s="91" t="str">
        <f t="shared" si="20"/>
        <v>W</v>
      </c>
      <c r="P75" s="26" t="str">
        <f t="shared" si="16"/>
        <v>P</v>
      </c>
      <c r="Q75" s="26" t="str">
        <f t="shared" si="17"/>
        <v>WR</v>
      </c>
      <c r="R75" s="26" t="str">
        <f t="shared" si="18"/>
        <v>Lv 1</v>
      </c>
      <c r="S75" s="26" t="str">
        <f t="shared" si="19"/>
        <v>Lv 3</v>
      </c>
      <c r="T75" s="84" t="str">
        <f t="shared" si="21"/>
        <v/>
      </c>
      <c r="U75" s="5" t="str">
        <f t="shared" si="22"/>
        <v>PKT</v>
      </c>
      <c r="V75" s="5" t="str">
        <f t="shared" si="23"/>
        <v>CGO</v>
      </c>
      <c r="W75" s="138" t="str">
        <f t="shared" si="25"/>
        <v/>
      </c>
      <c r="X75" s="5" t="str">
        <f t="shared" si="24"/>
        <v/>
      </c>
    </row>
    <row r="76" spans="1:26" s="4" customFormat="1" ht="84" customHeight="1">
      <c r="A76" s="91" t="s">
        <v>484</v>
      </c>
      <c r="B76" s="91" t="s">
        <v>861</v>
      </c>
      <c r="C76" s="91" t="s">
        <v>974</v>
      </c>
      <c r="D76" s="91" t="s">
        <v>1031</v>
      </c>
      <c r="E76" s="91" t="s">
        <v>1032</v>
      </c>
      <c r="F76" s="14" t="s">
        <v>161</v>
      </c>
      <c r="G76" s="18" t="s">
        <v>1033</v>
      </c>
      <c r="H76" s="14" t="s">
        <v>156</v>
      </c>
      <c r="I76" s="18" t="s">
        <v>35</v>
      </c>
      <c r="J76" s="18">
        <v>180</v>
      </c>
      <c r="K76" s="91" t="s">
        <v>925</v>
      </c>
      <c r="L76" s="21" t="s">
        <v>1035</v>
      </c>
      <c r="M76" s="21" t="s">
        <v>23</v>
      </c>
      <c r="N76" s="21"/>
      <c r="O76" s="91" t="str">
        <f t="shared" si="20"/>
        <v>W</v>
      </c>
      <c r="P76" s="26" t="str">
        <f t="shared" si="16"/>
        <v>P</v>
      </c>
      <c r="Q76" s="26" t="str">
        <f t="shared" si="17"/>
        <v>WR</v>
      </c>
      <c r="R76" s="26" t="str">
        <f t="shared" si="18"/>
        <v>Lv 1</v>
      </c>
      <c r="S76" s="26" t="str">
        <f t="shared" si="19"/>
        <v>Lv 3</v>
      </c>
      <c r="T76" s="84" t="str">
        <f t="shared" si="21"/>
        <v/>
      </c>
      <c r="U76" s="5" t="str">
        <f t="shared" si="22"/>
        <v>ETC</v>
      </c>
      <c r="V76" s="5" t="str">
        <f t="shared" si="23"/>
        <v>REG</v>
      </c>
      <c r="W76" s="138" t="str">
        <f t="shared" si="25"/>
        <v/>
      </c>
      <c r="X76" s="5" t="str">
        <f t="shared" si="24"/>
        <v/>
      </c>
    </row>
    <row r="77" spans="1:26" s="4" customFormat="1" ht="84" customHeight="1">
      <c r="A77" s="91" t="s">
        <v>484</v>
      </c>
      <c r="B77" s="91" t="s">
        <v>861</v>
      </c>
      <c r="C77" s="91" t="s">
        <v>974</v>
      </c>
      <c r="D77" s="91" t="s">
        <v>975</v>
      </c>
      <c r="E77" s="91" t="s">
        <v>1036</v>
      </c>
      <c r="F77" s="14" t="s">
        <v>1037</v>
      </c>
      <c r="G77" s="18" t="s">
        <v>1038</v>
      </c>
      <c r="H77" s="14" t="s">
        <v>54</v>
      </c>
      <c r="I77" s="14" t="s">
        <v>1039</v>
      </c>
      <c r="J77" s="14">
        <v>150</v>
      </c>
      <c r="K77" s="91" t="s">
        <v>436</v>
      </c>
      <c r="L77" s="91" t="s">
        <v>1034</v>
      </c>
      <c r="M77" s="91" t="s">
        <v>23</v>
      </c>
      <c r="N77" s="21"/>
      <c r="O77" s="91" t="str">
        <f t="shared" si="20"/>
        <v>W</v>
      </c>
      <c r="P77" s="26" t="str">
        <f t="shared" si="16"/>
        <v>NX</v>
      </c>
      <c r="Q77" s="26" t="str">
        <f t="shared" si="17"/>
        <v>WR</v>
      </c>
      <c r="R77" s="26" t="str">
        <f t="shared" si="18"/>
        <v>Lv 3</v>
      </c>
      <c r="S77" s="26" t="str">
        <f t="shared" si="19"/>
        <v>Lv 2</v>
      </c>
      <c r="T77" s="84" t="str">
        <f t="shared" si="21"/>
        <v/>
      </c>
      <c r="U77" s="5" t="str">
        <f t="shared" si="22"/>
        <v>PKT</v>
      </c>
      <c r="V77" s="5" t="str">
        <f t="shared" si="23"/>
        <v>CGO</v>
      </c>
      <c r="W77" s="138" t="str">
        <f t="shared" si="25"/>
        <v/>
      </c>
      <c r="X77" s="5" t="str">
        <f t="shared" si="24"/>
        <v/>
      </c>
    </row>
    <row r="78" spans="1:26" s="4" customFormat="1" ht="84.75" customHeight="1">
      <c r="A78" s="98" t="s">
        <v>484</v>
      </c>
      <c r="B78" s="98" t="s">
        <v>861</v>
      </c>
      <c r="C78" s="98" t="s">
        <v>453</v>
      </c>
      <c r="D78" s="98" t="s">
        <v>916</v>
      </c>
      <c r="E78" s="98" t="s">
        <v>1040</v>
      </c>
      <c r="F78" s="101" t="s">
        <v>52</v>
      </c>
      <c r="G78" s="102" t="s">
        <v>1041</v>
      </c>
      <c r="H78" s="101" t="s">
        <v>1042</v>
      </c>
      <c r="I78" s="102" t="s">
        <v>35</v>
      </c>
      <c r="J78" s="102">
        <v>115</v>
      </c>
      <c r="K78" s="21" t="s">
        <v>459</v>
      </c>
      <c r="L78" s="99" t="s">
        <v>1043</v>
      </c>
      <c r="M78" s="99" t="s">
        <v>36</v>
      </c>
      <c r="N78" s="120" t="s">
        <v>1044</v>
      </c>
      <c r="O78" s="91" t="str">
        <f t="shared" si="20"/>
        <v>W</v>
      </c>
      <c r="P78" s="26" t="str">
        <f t="shared" si="16"/>
        <v>NX</v>
      </c>
      <c r="Q78" s="26" t="str">
        <f t="shared" si="17"/>
        <v>WR</v>
      </c>
      <c r="R78" s="26" t="str">
        <f t="shared" si="18"/>
        <v>Lv 3</v>
      </c>
      <c r="S78" s="26" t="str">
        <f t="shared" si="19"/>
        <v>Lv 2</v>
      </c>
      <c r="T78" s="84" t="str">
        <f t="shared" si="21"/>
        <v>W-NX-WR-Lv 3-Lv 2</v>
      </c>
      <c r="U78" s="5" t="str">
        <f t="shared" si="22"/>
        <v>PKT</v>
      </c>
      <c r="V78" s="5" t="str">
        <f t="shared" si="23"/>
        <v>REG</v>
      </c>
      <c r="W78" s="138" t="str">
        <f t="shared" si="25"/>
        <v>PKT-REG</v>
      </c>
      <c r="X78" s="5" t="str">
        <f t="shared" si="24"/>
        <v>⚠️ [포켓/하중 주의] 얇거나 신축성 있는 원단: 포켓 입구 벌어짐 및 처짐 방지 공정 필수</v>
      </c>
    </row>
    <row r="79" spans="1:26" s="4" customFormat="1" ht="84" customHeight="1">
      <c r="A79" s="98" t="s">
        <v>484</v>
      </c>
      <c r="B79" s="98" t="s">
        <v>861</v>
      </c>
      <c r="C79" s="98" t="s">
        <v>453</v>
      </c>
      <c r="D79" s="98" t="s">
        <v>916</v>
      </c>
      <c r="E79" s="98" t="s">
        <v>1040</v>
      </c>
      <c r="F79" s="101" t="s">
        <v>52</v>
      </c>
      <c r="G79" s="102" t="s">
        <v>1041</v>
      </c>
      <c r="H79" s="101" t="s">
        <v>1042</v>
      </c>
      <c r="I79" s="102" t="s">
        <v>35</v>
      </c>
      <c r="J79" s="102">
        <v>115</v>
      </c>
      <c r="K79" s="30" t="s">
        <v>1026</v>
      </c>
      <c r="L79" s="99" t="s">
        <v>1043</v>
      </c>
      <c r="M79" s="99" t="s">
        <v>36</v>
      </c>
      <c r="N79" s="120" t="s">
        <v>1044</v>
      </c>
      <c r="O79" s="91" t="str">
        <f t="shared" si="20"/>
        <v>W</v>
      </c>
      <c r="P79" s="26" t="str">
        <f t="shared" si="16"/>
        <v>NX</v>
      </c>
      <c r="Q79" s="26" t="str">
        <f t="shared" si="17"/>
        <v>WR</v>
      </c>
      <c r="R79" s="26" t="str">
        <f t="shared" si="18"/>
        <v>Lv 3</v>
      </c>
      <c r="S79" s="26" t="str">
        <f t="shared" si="19"/>
        <v>Lv 2</v>
      </c>
      <c r="T79" s="84" t="str">
        <f t="shared" si="21"/>
        <v>W-NX-WR-Lv 3-Lv 2</v>
      </c>
      <c r="U79" s="5" t="str">
        <f t="shared" si="22"/>
        <v>ETC</v>
      </c>
      <c r="V79" s="5" t="str">
        <f t="shared" si="23"/>
        <v>REG</v>
      </c>
      <c r="W79" s="138" t="str">
        <f t="shared" si="25"/>
        <v>ETC-REG</v>
      </c>
      <c r="X79" s="5" t="str">
        <f t="shared" si="24"/>
        <v>⚠️ [포켓/하중 주의] 얇거나 신축성 있는 원단: 포켓 입구 벌어짐 및 처짐 방지 공정 필수</v>
      </c>
      <c r="Y79" s="88"/>
      <c r="Z79" s="88"/>
    </row>
    <row r="80" spans="1:26" s="4" customFormat="1" ht="84" customHeight="1">
      <c r="A80" s="91" t="s">
        <v>484</v>
      </c>
      <c r="B80" s="91" t="s">
        <v>861</v>
      </c>
      <c r="C80" s="91" t="s">
        <v>89</v>
      </c>
      <c r="D80" s="91" t="s">
        <v>1045</v>
      </c>
      <c r="E80" s="91" t="s">
        <v>1046</v>
      </c>
      <c r="F80" s="14" t="s">
        <v>1047</v>
      </c>
      <c r="G80" s="18" t="s">
        <v>1048</v>
      </c>
      <c r="H80" s="14" t="s">
        <v>1049</v>
      </c>
      <c r="I80" s="14" t="s">
        <v>35</v>
      </c>
      <c r="J80" s="18">
        <v>200</v>
      </c>
      <c r="K80" s="91" t="s">
        <v>436</v>
      </c>
      <c r="L80" s="91" t="s">
        <v>1050</v>
      </c>
      <c r="M80" s="91" t="s">
        <v>23</v>
      </c>
      <c r="N80" s="21"/>
      <c r="O80" s="91" t="str">
        <f t="shared" si="20"/>
        <v>W</v>
      </c>
      <c r="P80" s="26" t="str">
        <f t="shared" si="16"/>
        <v>NX</v>
      </c>
      <c r="Q80" s="26" t="str">
        <f t="shared" si="17"/>
        <v>WR</v>
      </c>
      <c r="R80" s="26" t="str">
        <f t="shared" si="18"/>
        <v>Lv 3</v>
      </c>
      <c r="S80" s="26" t="str">
        <f t="shared" si="19"/>
        <v>Lv 3</v>
      </c>
      <c r="T80" s="84" t="str">
        <f t="shared" si="21"/>
        <v/>
      </c>
      <c r="U80" s="5" t="str">
        <f t="shared" si="22"/>
        <v>PKT</v>
      </c>
      <c r="V80" s="5" t="str">
        <f t="shared" si="23"/>
        <v>CGO</v>
      </c>
      <c r="W80" s="138" t="str">
        <f t="shared" si="25"/>
        <v/>
      </c>
      <c r="X80" s="5" t="str">
        <f t="shared" si="24"/>
        <v/>
      </c>
      <c r="Y80" s="88"/>
      <c r="Z80" s="88"/>
    </row>
    <row r="81" spans="1:26" s="4" customFormat="1" ht="84" customHeight="1">
      <c r="A81" s="91" t="s">
        <v>484</v>
      </c>
      <c r="B81" s="91" t="s">
        <v>861</v>
      </c>
      <c r="C81" s="91" t="s">
        <v>89</v>
      </c>
      <c r="D81" s="91" t="s">
        <v>1051</v>
      </c>
      <c r="E81" s="91" t="s">
        <v>1052</v>
      </c>
      <c r="F81" s="14" t="s">
        <v>1047</v>
      </c>
      <c r="G81" s="18" t="s">
        <v>1053</v>
      </c>
      <c r="H81" s="14" t="s">
        <v>273</v>
      </c>
      <c r="I81" s="18" t="s">
        <v>274</v>
      </c>
      <c r="J81" s="18">
        <v>380</v>
      </c>
      <c r="K81" s="91" t="s">
        <v>416</v>
      </c>
      <c r="L81" s="91" t="s">
        <v>417</v>
      </c>
      <c r="M81" s="91" t="s">
        <v>23</v>
      </c>
      <c r="N81" s="21"/>
      <c r="O81" s="91" t="str">
        <f t="shared" si="20"/>
        <v>W</v>
      </c>
      <c r="P81" s="26" t="str">
        <f t="shared" si="16"/>
        <v>S</v>
      </c>
      <c r="Q81" s="26" t="str">
        <f t="shared" si="17"/>
        <v>FN</v>
      </c>
      <c r="R81" s="26" t="str">
        <f t="shared" si="18"/>
        <v>Lv 4</v>
      </c>
      <c r="S81" s="26" t="str">
        <f t="shared" si="19"/>
        <v>Lv 5</v>
      </c>
      <c r="T81" s="84" t="str">
        <f t="shared" si="21"/>
        <v/>
      </c>
      <c r="U81" s="5" t="str">
        <f t="shared" si="22"/>
        <v>NK</v>
      </c>
      <c r="V81" s="5" t="str">
        <f t="shared" si="23"/>
        <v>SELF</v>
      </c>
      <c r="W81" s="138" t="str">
        <f t="shared" si="25"/>
        <v/>
      </c>
      <c r="X81" s="5" t="str">
        <f t="shared" si="24"/>
        <v/>
      </c>
      <c r="Y81" s="88"/>
      <c r="Z81" s="88"/>
    </row>
    <row r="82" spans="1:26" s="4" customFormat="1" ht="84" customHeight="1">
      <c r="A82" s="91" t="s">
        <v>484</v>
      </c>
      <c r="B82" s="91" t="s">
        <v>861</v>
      </c>
      <c r="C82" s="91" t="s">
        <v>89</v>
      </c>
      <c r="D82" s="91" t="s">
        <v>1051</v>
      </c>
      <c r="E82" s="91" t="s">
        <v>1054</v>
      </c>
      <c r="F82" s="18" t="s">
        <v>1047</v>
      </c>
      <c r="G82" s="18" t="s">
        <v>1055</v>
      </c>
      <c r="H82" s="14" t="s">
        <v>273</v>
      </c>
      <c r="I82" s="18" t="s">
        <v>274</v>
      </c>
      <c r="J82" s="91">
        <v>300</v>
      </c>
      <c r="K82" s="91" t="s">
        <v>416</v>
      </c>
      <c r="L82" s="91" t="s">
        <v>417</v>
      </c>
      <c r="M82" s="91" t="s">
        <v>23</v>
      </c>
      <c r="N82" s="21"/>
      <c r="O82" s="91" t="str">
        <f t="shared" si="20"/>
        <v>W</v>
      </c>
      <c r="P82" s="26" t="str">
        <f t="shared" si="16"/>
        <v>S</v>
      </c>
      <c r="Q82" s="26" t="str">
        <f t="shared" si="17"/>
        <v>FN</v>
      </c>
      <c r="R82" s="26" t="str">
        <f t="shared" si="18"/>
        <v>Lv 4</v>
      </c>
      <c r="S82" s="26" t="str">
        <f t="shared" si="19"/>
        <v>Lv 4</v>
      </c>
      <c r="T82" s="84" t="str">
        <f t="shared" si="21"/>
        <v/>
      </c>
      <c r="U82" s="5" t="str">
        <f t="shared" si="22"/>
        <v>NK</v>
      </c>
      <c r="V82" s="5" t="str">
        <f t="shared" si="23"/>
        <v>SELF</v>
      </c>
      <c r="W82" s="138" t="str">
        <f t="shared" si="25"/>
        <v/>
      </c>
      <c r="X82" s="5" t="str">
        <f t="shared" si="24"/>
        <v/>
      </c>
      <c r="Y82" s="88"/>
      <c r="Z82" s="88"/>
    </row>
    <row r="83" spans="1:26" s="4" customFormat="1" ht="84" customHeight="1">
      <c r="A83" s="91" t="s">
        <v>484</v>
      </c>
      <c r="B83" s="91" t="s">
        <v>861</v>
      </c>
      <c r="C83" s="91" t="s">
        <v>448</v>
      </c>
      <c r="D83" s="91" t="s">
        <v>224</v>
      </c>
      <c r="E83" s="91" t="s">
        <v>1056</v>
      </c>
      <c r="F83" s="14" t="s">
        <v>210</v>
      </c>
      <c r="G83" s="18" t="s">
        <v>1057</v>
      </c>
      <c r="H83" s="14" t="s">
        <v>212</v>
      </c>
      <c r="I83" s="14" t="s">
        <v>1058</v>
      </c>
      <c r="J83" s="14">
        <v>138</v>
      </c>
      <c r="K83" s="91" t="s">
        <v>502</v>
      </c>
      <c r="L83" s="91" t="s">
        <v>1059</v>
      </c>
      <c r="M83" s="91" t="s">
        <v>23</v>
      </c>
      <c r="N83" s="21"/>
      <c r="O83" s="91" t="str">
        <f t="shared" si="20"/>
        <v>W</v>
      </c>
      <c r="P83" s="26" t="str">
        <f t="shared" si="16"/>
        <v>P</v>
      </c>
      <c r="Q83" s="26" t="str">
        <f t="shared" si="17"/>
        <v>WP</v>
      </c>
      <c r="R83" s="26" t="str">
        <f t="shared" si="18"/>
        <v>Lv 1</v>
      </c>
      <c r="S83" s="26" t="str">
        <f t="shared" si="19"/>
        <v>Lv 2</v>
      </c>
      <c r="T83" s="84" t="str">
        <f t="shared" si="21"/>
        <v/>
      </c>
      <c r="U83" s="5" t="str">
        <f t="shared" si="22"/>
        <v>ADH</v>
      </c>
      <c r="V83" s="5" t="str">
        <f t="shared" si="23"/>
        <v>REG</v>
      </c>
      <c r="W83" s="138" t="str">
        <f t="shared" si="25"/>
        <v/>
      </c>
      <c r="X83" s="5" t="str">
        <f t="shared" si="24"/>
        <v/>
      </c>
      <c r="Y83" s="88"/>
      <c r="Z83" s="88"/>
    </row>
    <row r="84" spans="1:26" s="4" customFormat="1" ht="84" customHeight="1">
      <c r="A84" s="91" t="s">
        <v>484</v>
      </c>
      <c r="B84" s="91" t="s">
        <v>861</v>
      </c>
      <c r="C84" s="91" t="s">
        <v>448</v>
      </c>
      <c r="D84" s="91" t="s">
        <v>1060</v>
      </c>
      <c r="E84" s="91" t="s">
        <v>1061</v>
      </c>
      <c r="F84" s="14" t="s">
        <v>52</v>
      </c>
      <c r="G84" s="18" t="s">
        <v>1062</v>
      </c>
      <c r="H84" s="14" t="s">
        <v>1063</v>
      </c>
      <c r="I84" s="18" t="s">
        <v>46</v>
      </c>
      <c r="J84" s="18">
        <v>150</v>
      </c>
      <c r="K84" s="21" t="s">
        <v>436</v>
      </c>
      <c r="L84" s="91" t="s">
        <v>1050</v>
      </c>
      <c r="M84" s="91" t="s">
        <v>23</v>
      </c>
      <c r="N84" s="21"/>
      <c r="O84" s="91" t="str">
        <f t="shared" si="20"/>
        <v>W</v>
      </c>
      <c r="P84" s="26" t="str">
        <f t="shared" si="16"/>
        <v>NX</v>
      </c>
      <c r="Q84" s="26" t="str">
        <f t="shared" si="17"/>
        <v>ST</v>
      </c>
      <c r="R84" s="26" t="str">
        <f t="shared" si="18"/>
        <v>Lv 3</v>
      </c>
      <c r="S84" s="26" t="str">
        <f t="shared" si="19"/>
        <v>Lv 2</v>
      </c>
      <c r="T84" s="84" t="str">
        <f t="shared" si="21"/>
        <v/>
      </c>
      <c r="U84" s="5" t="str">
        <f t="shared" si="22"/>
        <v>PKT</v>
      </c>
      <c r="V84" s="5" t="str">
        <f t="shared" si="23"/>
        <v>CGO</v>
      </c>
      <c r="W84" s="138" t="str">
        <f t="shared" si="25"/>
        <v/>
      </c>
      <c r="X84" s="5" t="str">
        <f t="shared" si="24"/>
        <v/>
      </c>
      <c r="Y84" s="88"/>
      <c r="Z84" s="88"/>
    </row>
    <row r="85" spans="1:26" ht="114.75" customHeight="1">
      <c r="A85" s="92"/>
      <c r="B85" s="92"/>
      <c r="C85" s="92"/>
      <c r="D85" s="92"/>
      <c r="E85" s="92"/>
      <c r="F85" s="97"/>
      <c r="G85" s="97"/>
      <c r="H85" s="97"/>
      <c r="I85" s="97"/>
      <c r="J85" s="97"/>
      <c r="K85" s="97"/>
      <c r="L85" s="92"/>
      <c r="M85" s="92"/>
      <c r="N85" s="92"/>
    </row>
    <row r="86" spans="1:26" ht="114.75" customHeight="1"/>
    <row r="87" spans="1:26" ht="114.75" customHeight="1"/>
    <row r="88" spans="1:26" ht="114.75" customHeight="1"/>
    <row r="89" spans="1:26" ht="114.75" customHeight="1"/>
  </sheetData>
  <autoFilter ref="A1:M84" xr:uid="{67E285BA-AA72-4B1F-8B6F-AE7B244EF8AF}"/>
  <mergeCells count="13">
    <mergeCell ref="A16:A17"/>
    <mergeCell ref="B16:B17"/>
    <mergeCell ref="C16:C17"/>
    <mergeCell ref="D16:D17"/>
    <mergeCell ref="K16:K17"/>
    <mergeCell ref="L16:L17"/>
    <mergeCell ref="M16:M17"/>
    <mergeCell ref="E16:E17"/>
    <mergeCell ref="F16:F17"/>
    <mergeCell ref="G16:G17"/>
    <mergeCell ref="H16:H17"/>
    <mergeCell ref="I16:I17"/>
    <mergeCell ref="J16:J17"/>
  </mergeCells>
  <phoneticPr fontId="1" type="noConversion"/>
  <conditionalFormatting sqref="X1:X1048576">
    <cfRule type="containsText" dxfId="4" priority="1" operator="containsText" text="⚠️">
      <formula>NOT(ISERROR(SEARCH("⚠️",X1)))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8ED45F-037E-4C25-974F-715E3179CA31}">
  <dimension ref="A1:X39"/>
  <sheetViews>
    <sheetView topLeftCell="K1" zoomScale="40" zoomScaleNormal="40" workbookViewId="0">
      <pane ySplit="1" topLeftCell="A2" activePane="bottomLeft" state="frozen"/>
      <selection pane="bottomLeft" activeCell="X29" sqref="X29"/>
    </sheetView>
  </sheetViews>
  <sheetFormatPr defaultColWidth="9" defaultRowHeight="25.2"/>
  <cols>
    <col min="1" max="3" width="22.59765625" style="3" customWidth="1"/>
    <col min="4" max="4" width="17.69921875" style="3" customWidth="1"/>
    <col min="5" max="5" width="22.3984375" style="3" customWidth="1"/>
    <col min="6" max="6" width="46.5" style="4" customWidth="1"/>
    <col min="7" max="7" width="38.69921875" style="4" customWidth="1"/>
    <col min="8" max="8" width="61.09765625" style="4" customWidth="1"/>
    <col min="9" max="9" width="27" style="4" customWidth="1"/>
    <col min="10" max="10" width="14.3984375" style="4" customWidth="1"/>
    <col min="11" max="11" width="50" style="3" customWidth="1"/>
    <col min="12" max="12" width="58.8984375" style="3" customWidth="1"/>
    <col min="13" max="13" width="35.5" style="3" customWidth="1"/>
    <col min="14" max="14" width="45.59765625" style="3" customWidth="1"/>
    <col min="15" max="15" width="13.59765625" style="34" customWidth="1"/>
    <col min="16" max="16" width="13.09765625" style="34" customWidth="1"/>
    <col min="17" max="17" width="13.09765625" style="73" customWidth="1"/>
    <col min="18" max="19" width="13.09765625" style="34" customWidth="1"/>
    <col min="20" max="20" width="33.09765625" style="34" bestFit="1" customWidth="1"/>
    <col min="21" max="22" width="18.5" style="3" customWidth="1"/>
    <col min="23" max="23" width="22.8984375" style="3" bestFit="1" customWidth="1"/>
    <col min="24" max="24" width="109.09765625" style="3" customWidth="1"/>
    <col min="25" max="16384" width="9" style="3"/>
  </cols>
  <sheetData>
    <row r="1" spans="1:24" s="4" customFormat="1" ht="62.25" customHeight="1" thickBot="1">
      <c r="A1" s="103" t="s">
        <v>841</v>
      </c>
      <c r="B1" s="104" t="s">
        <v>842</v>
      </c>
      <c r="C1" s="105" t="s">
        <v>843</v>
      </c>
      <c r="D1" s="105" t="s">
        <v>844</v>
      </c>
      <c r="E1" s="113" t="s">
        <v>3</v>
      </c>
      <c r="F1" s="113" t="s">
        <v>845</v>
      </c>
      <c r="G1" s="113" t="s">
        <v>410</v>
      </c>
      <c r="H1" s="113" t="s">
        <v>411</v>
      </c>
      <c r="I1" s="113" t="s">
        <v>846</v>
      </c>
      <c r="J1" s="114" t="s">
        <v>412</v>
      </c>
      <c r="K1" s="113" t="s">
        <v>1064</v>
      </c>
      <c r="L1" s="115" t="s">
        <v>848</v>
      </c>
      <c r="M1" s="106" t="s">
        <v>840</v>
      </c>
      <c r="N1" s="106" t="s">
        <v>849</v>
      </c>
      <c r="O1" s="86" t="s">
        <v>1391</v>
      </c>
      <c r="P1" s="142" t="s">
        <v>6</v>
      </c>
      <c r="Q1" s="142" t="s">
        <v>7</v>
      </c>
      <c r="R1" s="142" t="s">
        <v>8</v>
      </c>
      <c r="S1" s="143" t="s">
        <v>9</v>
      </c>
      <c r="T1" s="83" t="s">
        <v>12</v>
      </c>
      <c r="U1" s="127" t="s">
        <v>413</v>
      </c>
      <c r="V1" s="127" t="s">
        <v>414</v>
      </c>
      <c r="W1" s="83" t="s">
        <v>1240</v>
      </c>
      <c r="X1" s="144" t="s">
        <v>14</v>
      </c>
    </row>
    <row r="2" spans="1:24" s="72" customFormat="1" ht="62.25" customHeight="1">
      <c r="A2" s="146" t="s">
        <v>850</v>
      </c>
      <c r="B2" s="37" t="s">
        <v>851</v>
      </c>
      <c r="C2" s="37" t="s">
        <v>154</v>
      </c>
      <c r="D2" s="37" t="s">
        <v>862</v>
      </c>
      <c r="E2" s="14" t="s">
        <v>1065</v>
      </c>
      <c r="F2" s="14" t="s">
        <v>422</v>
      </c>
      <c r="G2" s="14" t="s">
        <v>423</v>
      </c>
      <c r="H2" s="18" t="s">
        <v>424</v>
      </c>
      <c r="I2" s="18" t="s">
        <v>22</v>
      </c>
      <c r="J2" s="18">
        <v>345</v>
      </c>
      <c r="K2" s="14" t="s">
        <v>1066</v>
      </c>
      <c r="L2" s="14" t="s">
        <v>1067</v>
      </c>
      <c r="M2" s="145" t="s">
        <v>36</v>
      </c>
      <c r="N2" s="14" t="s">
        <v>1068</v>
      </c>
      <c r="O2" s="91" t="str">
        <f>_xlfn.IFS(B2="다이마루","K",B2="우븐","W",B2="스웨터","S",B2="데님","D")</f>
        <v>K</v>
      </c>
      <c r="P2" s="26" t="str">
        <f>IF(H2="", "",
 IF(AND(ISNUMBER(SEARCH("Cotton", H2)), OR(ISNUMBER(SEARCH("Sorona", H2)), ISNUMBER(SEARCH("Polyester(Sorona)", H2)))), "CS",
  IF(AND(ISNUMBER(SEARCH("Nylon", H2)), OR(ISNUMBER(SEARCH("Span", H2)), ISNUMBER(SEARCH("Polyurethane", H2)), ISNUMBER(SEARCH("Elastane", H2)))), "NX",
   IF(AND(ISNUMBER(SEARCH("Nylon", H2)), NOT(OR(ISNUMBER(SEARCH("Cotton", H2)), ISNUMBER(SEARCH("Polyester", H2)), ISNUMBER(SEARCH("Rayon", H2)), ISNUMBER(SEARCH("Modal", H2)), ISNUMBER(SEARCH("Viscose", H2))))), "N",
    IF(AND(ISNUMBER(SEARCH("Cotton", H2)), NOT(OR(ISNUMBER(SEARCH("Polyester", H2)), ISNUMBER(SEARCH("Nylon", H2)), ISNUMBER(SEARCH("Rayon", H2)), ISNUMBER(SEARCH("Modal", H2)), ISNUMBER(SEARCH("Viscose", H2)), ISNUMBER(SEARCH("Polyurethane", H2)), ISNUMBER(SEARCH("Span", H2))))), "C",
     IF(ISNUMBER(SEARCH("Cotton", H2)), "CX",
      IF(AND(ISNUMBER(SEARCH("Polyester", H2)), NOT(OR(ISNUMBER(SEARCH("Cotton", H2)), ISNUMBER(SEARCH("Nylon", H2)), ISNUMBER(SEARCH("Wool", H2)), ISNUMBER(SEARCH("Rayon", H2))))), "P",
       "S")))))))</f>
        <v>P</v>
      </c>
      <c r="Q2" s="26" t="str">
        <f>IF(OR(I2="", I2="X", I2="None"), "ST",
 IF(OR(ISNUMBER(SEARCH("Layer", I2)), ISNUMBER(SEARCH("Lamination", I2)), ISNUMBER(SEARCH("TPU", I2)), ISNUMBER(SEARCH("PU", I2))), "WP",
  IF(OR(ISNUMBER(SEARCH("WR", I2)), ISNUMBER(SEARCH("DWR", I2)), ISNUMBER(SEARCH("Cire", I2)), ISNUMBER(SEARCH("Coating", I2)), ISNUMBER(SEARCH("Print", I2))), "WR",
   IF(OR(ISNUMBER(SEARCH("Bio", I2)), ISNUMBER(SEARCH("Enzyme", I2)), ISNUMBER(SEARCH("Peach", I2)), ISNUMBER(SEARCH("Brush", I2)), ISNUMBER(SEARCH("Tumble", I2)), ISNUMBER(SEARCH("Airo", I2))), "AF",
    IF(OR(ISNUMBER(SEARCH("UV", I2)), ISNUMBER(SEARCH("Dry", I2)), ISNUMBER(SEARCH("Wick", I2)), ISNUMBER(SEARCH("Hydrolysis", I2))), "FN",
     "ST")))))</f>
        <v>AF</v>
      </c>
      <c r="R2" s="26" t="str">
        <f>IF(H2="", "",
 IF(OR(ISNUMBER(SEARCH("Span",H2)), ISNUMBER(SEARCH("Polyurethane",H2)), ISNUMBER(SEARCH("PU",H2))),
    IF(IFERROR(VALUE(LEFT(SUBSTITUTE(MID(H2,SEARCH("%",H2)-3,3),",",""),2)),0)&gt;=12, "Lv 5",
    IF(IFERROR(VALUE(LEFT(SUBSTITUTE(MID(H2,SEARCH("%",H2)-3,3),",",""),2)),0)&gt;=6, "Lv 4", "Lv 3")),
    IF(OR(ISNUMBER(SEARCH("Sorona",H2)), ISNUMBER(SEARCH("T400",H2)), ISNUMBER(SEARCH("Knit",H2))), "Lv 2", "Lv 1")
 ))</f>
        <v>Lv 3</v>
      </c>
      <c r="S2" s="26" t="str">
        <f>IF(OR(J2="", J2=0), "",
 IF(J2&lt;=80, "Lv 1",
  IF(J2&lt;=160, "Lv 2",
   IF(J2&lt;=260, "Lv 3",
    IF(J2&lt;=360, "Lv 4",
     "Lv 5")))))</f>
        <v>Lv 4</v>
      </c>
      <c r="T2" s="84" t="str">
        <f>IF(M2="O", _xlfn.TEXTJOIN("-", TRUE, O2:S2), "")</f>
        <v>K-P-AF-Lv 3-Lv 4</v>
      </c>
      <c r="U2" s="14" t="str">
        <f t="shared" ref="U2:U33" si="0">IF(OR(ISNUMBER(SEARCH("요꼬", K2)), ISNUMBER(SEARCH("YOKO", K2)), ISNUMBER(SEARCH("RIB", K2)), ISNUMBER(SEARCH("EBD", K2)), ISNUMBER(SEARCH("밴드", K2))), "RIB",
 IF(OR(ISNUMBER(SEARCH("지퍼", K2)), ISNUMBER(SEARCH("ZPP", K2)), ISNUMBER(SEARCH("스냅", K2)), ISNUMBER(SEARCH("SNP", K2)), ISNUMBER(SEARCH("단추", K2)), ISNUMBER(SEARCH("BTN", K2))), "FST",
  IF(OR(ISNUMBER(SEARCH("테이프", K2)), ISNUMBER(SEARCH("테잎", K2)), ISNUMBER(SEARCH("TPE", K2)), ISNUMBER(SEARCH("STP", K2)), ISNUMBER(SEARCH("스트링", K2)), ISNUMBER(SEARCH("STR", K2)), ISNUMBER(SEARCH("파이핑", K2)), ISNUMBER(SEARCH("PIP", K2))), "TRM",
   IF(OR(ISNUMBER(SEARCH("심실링", K2)), ISNUMBER(SEARCH("SEA", K2))), "ADH",
    "ACC"))))</f>
        <v>RIB</v>
      </c>
      <c r="V2" s="14" t="str">
        <f t="shared" ref="V2:V33" si="1">IF(OR(ISNUMBER(SEARCH("EBD", K2)), ISNUMBER(SEARCH("밴드", K2))), "EBD",
 IF(OR(ISNUMBER(SEARCH("요꼬", K2)), ISNUMBER(SEARCH("YOKO", K2)), ISNUMBER(SEARCH("RIB", K2))), "YOKO",
  IF(OR(ISNUMBER(SEARCH("지퍼", K2)), ISNUMBER(SEARCH("ZPP", K2))), "ZIP",
   IF(OR(ISNUMBER(SEARCH("스냅", K2)), ISNUMBER(SEARCH("SNP", K2))), "SNP",
    IF(OR(ISNUMBER(SEARCH("단추", K2)), ISNUMBER(SEARCH("BTN", K2))), "BTN",
     IF(OR(ISNUMBER(SEARCH("테이프", K2)), ISNUMBER(SEARCH("테잎", K2)), ISNUMBER(SEARCH("TPE", K2)), ISNUMBER(SEARCH("LACE", K2))), "TAP",
      IF(OR(ISNUMBER(SEARCH("스트링", K2)), ISNUMBER(SEARCH("STR", K2))), "STR",
       IF(OR(ISNUMBER(SEARCH("파이핑", K2)), ISNUMBER(SEARCH("PIP", K2))), "PIP",
        IF(OR(ISNUMBER(SEARCH("심실링", K2)), ISNUMBER(SEARCH("SEA", K2))), "SEA",
         "FNC")))))))))</f>
        <v>EBD</v>
      </c>
      <c r="W2" s="138" t="str">
        <f>IF(M2="O", _xlfn.TEXTJOIN("-", TRUE, U2:V2), "")</f>
        <v>RIB-EBD</v>
      </c>
      <c r="X2" s="14" t="str">
        <f>IF(OR(T2="", W2=""), "",IF(OR(T2="", W2=""), "✅ 정상",
IF(AND(ISNUMBER(SEARCH("WP", T2)), OR(ISNUMBER(SEARCH("ZIP", W2)), ISNUMBER(SEARCH("SNP", W2)))), "⚠️ [화학 주의] 코팅 원단-금속 부자재 오염 및 박리 위험 확인",
IF(AND(ISNUMBER(SEARCH("Lv 1", T2)), OR(ISNUMBER(SEARCH("ZIP", W2)), ISNUMBER(SEARCH("SNP", W2)))), "⚠️ [하중 경고] 초경량 원단 내 금속 부자재 사용 시 처짐/미어짐 위험",
IF(AND(ISNUMBER(SEARCH("W", T2)), OR(ISNUMBER(SEARCH("TAP", W2)), ISNUMBER(SEARCH("PIP", W2)))), "⚠️ [축률 주의] 우븐-테이프/파이핑: 축률 편차에 의한 봉제선 꼬임 및 퍼커링 확인",
IF(AND(ISNUMBER(SEARCH("NX", T2)), ISNUMBER(SEARCH("FNC", W2))), "⚠️ [구조 주의] 고신축 원단-기능부속(3M/실리콘): 접착 부위 꿀렁임 및 퍼커링 점검",
IF(AND(ISNUMBER(SEARCH("P", T2)), OR(ISNUMBER(SEARCH("FNC", W2)), ISNUMBER(SEARCH("STR", W2)))), "⚠️ [이염 주의] 폴리 원단-부자재(팁/라벨): 승화 이염 및 표면 오염 확인",
IF(AND(OR(ISNUMBER(SEARCH("Lv 4", T2)), ISNUMBER(SEARCH("Lv 5", T2))), OR(ISNUMBER(SEARCH("TAP", W2)), ISNUMBER(SEARCH("PIP", W2)))), "⚠️ [물성 주의] 고신축 원단-비신축 부자재 간 신축 차이로 인한 파동 위험",
IF(AND(ISNUMBER(SEARCH("WP", T2)), ISNUMBER(SEARCH("SEA", W2))), "⚠️ [공정 주의] 코팅 원단-심실링 작업: 원단 수축 및 외관 변형 확인",
IF(AND(ISNUMBER(SEARCH("EBD", W2)), OR(ISNUMBER(SEARCH("PIP", W2)), ISNUMBER(SEARCH("BND", W2)))), "⚠️ [구조 주의] 곡선 부위 강한 밴드 삽입 시 봉제선 꿀렁임 발생 확인",
IF(AND(ISNUMBER(SEARCH("YOKO", W2)), ISNUMBER(SEARCH("NK-SELF", W2))), "⚠️ [안착 주의] 카라 부위 부자재 겹침에 따른 안착 불량 및 형태 유지 점검",
IF(AND(ISNUMBER(SEARCH("NK", W2)), OR(ISNUMBER(SEARCH("Lv 4", T2)), ISNUMBER(SEARCH("Lv 5", T2)))), "⚠️ [넥 변형] 고신축 소재: 넥 라인 늘어남 방지 공정 확인",
IF(AND(ISNUMBER(SEARCH("Lv 1", T2)), ISNUMBER(SEARCH("STR", W2))), "⚠️ [중량 격차] 초경량 원단-스트링: 부자재 무게에 의한 원단 처짐 및 미어짐 확인",
IF(AND(ISNUMBER(SEARCH("ST", T2)), ISNUMBER(SEARCH("Lv 5", T2))), "⚠️ [봉제 부하] 고중량/고신축: 스티치 땀수 및 바늘 열 발생 주의",
IF(OR(ISNUMBER(SEARCH("RIB", W2)), ISNUMBER(SEARCH("YOKO", W2))), "⚠️ [외관 불량] 몸판-요꼬 중량/퀄리티 불일치: 넥 꿀렁임 점검",
"✅ 정상")))))))))))))))</f>
        <v>⚠️ [외관 불량] 몸판-요꼬 중량/퀄리티 불일치: 넥 꿀렁임 점검</v>
      </c>
    </row>
    <row r="3" spans="1:24" s="4" customFormat="1" ht="73.5" customHeight="1">
      <c r="A3" s="107" t="s">
        <v>850</v>
      </c>
      <c r="B3" s="91" t="s">
        <v>851</v>
      </c>
      <c r="C3" s="91" t="s">
        <v>479</v>
      </c>
      <c r="D3" s="91" t="s">
        <v>868</v>
      </c>
      <c r="E3" s="91" t="s">
        <v>871</v>
      </c>
      <c r="F3" s="91" t="s">
        <v>173</v>
      </c>
      <c r="G3" s="91" t="s">
        <v>485</v>
      </c>
      <c r="H3" s="21" t="s">
        <v>486</v>
      </c>
      <c r="I3" s="21" t="s">
        <v>35</v>
      </c>
      <c r="J3" s="21">
        <v>151</v>
      </c>
      <c r="K3" s="91" t="s">
        <v>1069</v>
      </c>
      <c r="L3" s="91" t="s">
        <v>1070</v>
      </c>
      <c r="M3" s="91" t="s">
        <v>36</v>
      </c>
      <c r="N3" s="91" t="s">
        <v>1071</v>
      </c>
      <c r="O3" s="91" t="str">
        <f t="shared" ref="O3:O33" si="2">_xlfn.IFS(B3="다이마루","K",B3="우븐","W",B3="스웨터","S",B3="데님","D")</f>
        <v>K</v>
      </c>
      <c r="P3" s="26" t="str">
        <f t="shared" ref="P3:P33" si="3">IF(H3="", "",
 IF(AND(ISNUMBER(SEARCH("Cotton", H3)), OR(ISNUMBER(SEARCH("Sorona", H3)), ISNUMBER(SEARCH("Polyester(Sorona)", H3)))), "CS",
  IF(AND(ISNUMBER(SEARCH("Nylon", H3)), OR(ISNUMBER(SEARCH("Span", H3)), ISNUMBER(SEARCH("Polyurethane", H3)), ISNUMBER(SEARCH("Elastane", H3)))), "NX",
   IF(AND(ISNUMBER(SEARCH("Nylon", H3)), NOT(OR(ISNUMBER(SEARCH("Cotton", H3)), ISNUMBER(SEARCH("Polyester", H3)), ISNUMBER(SEARCH("Rayon", H3)), ISNUMBER(SEARCH("Modal", H3)), ISNUMBER(SEARCH("Viscose", H3))))), "N",
    IF(AND(ISNUMBER(SEARCH("Cotton", H3)), NOT(OR(ISNUMBER(SEARCH("Polyester", H3)), ISNUMBER(SEARCH("Nylon", H3)), ISNUMBER(SEARCH("Rayon", H3)), ISNUMBER(SEARCH("Modal", H3)), ISNUMBER(SEARCH("Viscose", H3)), ISNUMBER(SEARCH("Polyurethane", H3)), ISNUMBER(SEARCH("Span", H3))))), "C",
     IF(ISNUMBER(SEARCH("Cotton", H3)), "CX",
      IF(AND(ISNUMBER(SEARCH("Polyester", H3)), NOT(OR(ISNUMBER(SEARCH("Cotton", H3)), ISNUMBER(SEARCH("Nylon", H3)), ISNUMBER(SEARCH("Wool", H3)), ISNUMBER(SEARCH("Rayon", H3))))), "P",
       "S")))))))</f>
        <v>NX</v>
      </c>
      <c r="Q3" s="26" t="str">
        <f t="shared" ref="Q3:Q33" si="4">IF(OR(I3="", I3="X", I3="None"), "ST",
 IF(OR(ISNUMBER(SEARCH("Layer", I3)), ISNUMBER(SEARCH("Lamination", I3)), ISNUMBER(SEARCH("TPU", I3)), ISNUMBER(SEARCH("PU", I3))), "WP",
  IF(OR(ISNUMBER(SEARCH("WR", I3)), ISNUMBER(SEARCH("DWR", I3)), ISNUMBER(SEARCH("Cire", I3)), ISNUMBER(SEARCH("Coating", I3)), ISNUMBER(SEARCH("Print", I3))), "WR",
   IF(OR(ISNUMBER(SEARCH("Bio", I3)), ISNUMBER(SEARCH("Enzyme", I3)), ISNUMBER(SEARCH("Peach", I3)), ISNUMBER(SEARCH("Brush", I3)), ISNUMBER(SEARCH("Tumble", I3)), ISNUMBER(SEARCH("Airo", I3))), "AF",
    IF(OR(ISNUMBER(SEARCH("UV", I3)), ISNUMBER(SEARCH("Dry", I3)), ISNUMBER(SEARCH("Wick", I3)), ISNUMBER(SEARCH("Hydrolysis", I3))), "FN",
     "ST")))))</f>
        <v>WR</v>
      </c>
      <c r="R3" s="26" t="str">
        <f t="shared" ref="R3:R33" si="5">IF(H3="", "",
 IF(OR(ISNUMBER(SEARCH("Span",H3)), ISNUMBER(SEARCH("Polyurethane",H3)), ISNUMBER(SEARCH("PU",H3))),
    IF(IFERROR(VALUE(LEFT(SUBSTITUTE(MID(H3,SEARCH("%",H3)-3,3),",",""),2)),0)&gt;=12, "Lv 5",
    IF(IFERROR(VALUE(LEFT(SUBSTITUTE(MID(H3,SEARCH("%",H3)-3,3),",",""),2)),0)&gt;=6, "Lv 4", "Lv 3")),
    IF(OR(ISNUMBER(SEARCH("Sorona",H3)), ISNUMBER(SEARCH("T400",H3)), ISNUMBER(SEARCH("Knit",H3))), "Lv 2", "Lv 1")
 ))</f>
        <v>Lv 3</v>
      </c>
      <c r="S3" s="26" t="str">
        <f t="shared" ref="S3:S33" si="6">IF(OR(J3="", J3=0), "",
 IF(J3&lt;=80, "Lv 1",
  IF(J3&lt;=160, "Lv 2",
   IF(J3&lt;=260, "Lv 3",
    IF(J3&lt;=360, "Lv 4",
     "Lv 5")))))</f>
        <v>Lv 2</v>
      </c>
      <c r="T3" s="84" t="str">
        <f t="shared" ref="T3:T33" si="7">IF(M3="O", _xlfn.TEXTJOIN("-", TRUE, O3:S3), "")</f>
        <v>K-NX-WR-Lv 3-Lv 2</v>
      </c>
      <c r="U3" s="14" t="str">
        <f t="shared" si="0"/>
        <v>ACC</v>
      </c>
      <c r="V3" s="14" t="str">
        <f t="shared" si="1"/>
        <v>FNC</v>
      </c>
      <c r="W3" s="138" t="str">
        <f t="shared" ref="W3:W33" si="8">IF(M3="O", _xlfn.TEXTJOIN("-", TRUE, U3:V3), "")</f>
        <v>ACC-FNC</v>
      </c>
      <c r="X3" s="14" t="str">
        <f t="shared" ref="X3:X33" si="9">IF(OR(T3="", W3=""), "",IF(OR(T3="", W3=""), "✅ 정상",
IF(AND(ISNUMBER(SEARCH("WP", T3)), OR(ISNUMBER(SEARCH("ZIP", W3)), ISNUMBER(SEARCH("SNP", W3)))), "⚠️ [화학 주의] 코팅 원단-금속 부자재 오염 및 박리 위험 확인",
IF(AND(ISNUMBER(SEARCH("Lv 1", T3)), OR(ISNUMBER(SEARCH("ZIP", W3)), ISNUMBER(SEARCH("SNP", W3)))), "⚠️ [하중 경고] 초경량 원단 내 금속 부자재 사용 시 처짐/미어짐 위험",
IF(AND(ISNUMBER(SEARCH("W", T3)), OR(ISNUMBER(SEARCH("TAP", W3)), ISNUMBER(SEARCH("PIP", W3)))), "⚠️ [축률 주의] 우븐-테이프/파이핑: 축률 편차에 의한 봉제선 꼬임 및 퍼커링 확인",
IF(AND(ISNUMBER(SEARCH("NX", T3)), ISNUMBER(SEARCH("FNC", W3))), "⚠️ [구조 주의] 고신축 원단-기능부속(3M/실리콘): 접착 부위 꿀렁임 및 퍼커링 점검",
IF(AND(ISNUMBER(SEARCH("P", T3)), OR(ISNUMBER(SEARCH("FNC", W3)), ISNUMBER(SEARCH("STR", W3)))), "⚠️ [이염 주의] 폴리 원단-부자재(팁/라벨): 승화 이염 및 표면 오염 확인",
IF(AND(OR(ISNUMBER(SEARCH("Lv 4", T3)), ISNUMBER(SEARCH("Lv 5", T3))), OR(ISNUMBER(SEARCH("TAP", W3)), ISNUMBER(SEARCH("PIP", W3)))), "⚠️ [물성 주의] 고신축 원단-비신축 부자재 간 신축 차이로 인한 파동 위험",
IF(AND(ISNUMBER(SEARCH("WP", T3)), ISNUMBER(SEARCH("SEA", W3))), "⚠️ [공정 주의] 코팅 원단-심실링 작업: 원단 수축 및 외관 변형 확인",
IF(AND(ISNUMBER(SEARCH("EBD", W3)), OR(ISNUMBER(SEARCH("PIP", W3)), ISNUMBER(SEARCH("BND", W3)))), "⚠️ [구조 주의] 곡선 부위 강한 밴드 삽입 시 봉제선 꿀렁임 발생 확인",
IF(AND(ISNUMBER(SEARCH("YOKO", W3)), ISNUMBER(SEARCH("NK-SELF", W3))), "⚠️ [안착 주의] 카라 부위 부자재 겹침에 따른 안착 불량 및 형태 유지 점검",
IF(AND(ISNUMBER(SEARCH("NK", W3)), OR(ISNUMBER(SEARCH("Lv 4", T3)), ISNUMBER(SEARCH("Lv 5", T3)))), "⚠️ [넥 변형] 고신축 소재: 넥 라인 늘어남 방지 공정 확인",
IF(AND(ISNUMBER(SEARCH("Lv 1", T3)), ISNUMBER(SEARCH("STR", W3))), "⚠️ [중량 격차] 초경량 원단-스트링: 부자재 무게에 의한 원단 처짐 및 미어짐 확인",
IF(AND(ISNUMBER(SEARCH("ST", T3)), ISNUMBER(SEARCH("Lv 5", T3))), "⚠️ [봉제 부하] 고중량/고신축: 스티치 땀수 및 바늘 열 발생 주의",
IF(OR(ISNUMBER(SEARCH("RIB", W3)), ISNUMBER(SEARCH("YOKO", W3))), "⚠️ [외관 불량] 몸판-요꼬 중량/퀄리티 불일치: 넥 꿀렁임 점검",
"✅ 정상")))))))))))))))</f>
        <v>⚠️ [구조 주의] 고신축 원단-기능부속(3M/실리콘): 접착 부위 꿀렁임 및 퍼커링 점검</v>
      </c>
    </row>
    <row r="4" spans="1:24" s="4" customFormat="1" ht="73.5" customHeight="1">
      <c r="A4" s="107" t="s">
        <v>850</v>
      </c>
      <c r="B4" s="108" t="s">
        <v>851</v>
      </c>
      <c r="C4" s="29" t="s">
        <v>432</v>
      </c>
      <c r="D4" s="91" t="s">
        <v>877</v>
      </c>
      <c r="E4" s="91" t="s">
        <v>533</v>
      </c>
      <c r="F4" s="91" t="s">
        <v>488</v>
      </c>
      <c r="G4" s="91" t="s">
        <v>489</v>
      </c>
      <c r="H4" s="21" t="s">
        <v>490</v>
      </c>
      <c r="I4" s="91" t="s">
        <v>141</v>
      </c>
      <c r="J4" s="91">
        <v>230</v>
      </c>
      <c r="K4" s="91" t="s">
        <v>1072</v>
      </c>
      <c r="L4" s="109" t="s">
        <v>1073</v>
      </c>
      <c r="M4" s="139" t="s">
        <v>23</v>
      </c>
      <c r="N4" s="91"/>
      <c r="O4" s="91" t="str">
        <f t="shared" si="2"/>
        <v>K</v>
      </c>
      <c r="P4" s="26" t="str">
        <f t="shared" si="3"/>
        <v>NX</v>
      </c>
      <c r="Q4" s="26" t="str">
        <f t="shared" si="4"/>
        <v>ST</v>
      </c>
      <c r="R4" s="26" t="str">
        <f t="shared" si="5"/>
        <v>Lv 3</v>
      </c>
      <c r="S4" s="26" t="str">
        <f t="shared" si="6"/>
        <v>Lv 3</v>
      </c>
      <c r="T4" s="84" t="str">
        <f t="shared" si="7"/>
        <v/>
      </c>
      <c r="U4" s="14" t="str">
        <f t="shared" si="0"/>
        <v>RIB</v>
      </c>
      <c r="V4" s="14" t="str">
        <f t="shared" si="1"/>
        <v>YOKO</v>
      </c>
      <c r="W4" s="138" t="str">
        <f t="shared" si="8"/>
        <v/>
      </c>
      <c r="X4" s="14" t="str">
        <f t="shared" si="9"/>
        <v/>
      </c>
    </row>
    <row r="5" spans="1:24" s="4" customFormat="1" ht="73.5" customHeight="1">
      <c r="A5" s="107" t="s">
        <v>850</v>
      </c>
      <c r="B5" s="91" t="s">
        <v>851</v>
      </c>
      <c r="C5" s="91" t="s">
        <v>432</v>
      </c>
      <c r="D5" s="21" t="s">
        <v>877</v>
      </c>
      <c r="E5" s="91" t="s">
        <v>886</v>
      </c>
      <c r="F5" s="21" t="s">
        <v>19</v>
      </c>
      <c r="G5" s="91" t="s">
        <v>491</v>
      </c>
      <c r="H5" s="21" t="s">
        <v>492</v>
      </c>
      <c r="I5" s="91" t="s">
        <v>22</v>
      </c>
      <c r="J5" s="91">
        <v>300</v>
      </c>
      <c r="K5" s="91" t="s">
        <v>493</v>
      </c>
      <c r="L5" s="91" t="s">
        <v>420</v>
      </c>
      <c r="M5" s="109" t="s">
        <v>23</v>
      </c>
      <c r="N5" s="91"/>
      <c r="O5" s="91" t="str">
        <f t="shared" si="2"/>
        <v>K</v>
      </c>
      <c r="P5" s="26" t="str">
        <f t="shared" si="3"/>
        <v>CS</v>
      </c>
      <c r="Q5" s="26" t="str">
        <f t="shared" si="4"/>
        <v>AF</v>
      </c>
      <c r="R5" s="26" t="str">
        <f t="shared" si="5"/>
        <v>Lv 2</v>
      </c>
      <c r="S5" s="26" t="str">
        <f t="shared" si="6"/>
        <v>Lv 4</v>
      </c>
      <c r="T5" s="84" t="str">
        <f t="shared" si="7"/>
        <v/>
      </c>
      <c r="U5" s="14" t="str">
        <f t="shared" si="0"/>
        <v>TRM</v>
      </c>
      <c r="V5" s="14" t="str">
        <f t="shared" si="1"/>
        <v>TAP</v>
      </c>
      <c r="W5" s="138" t="str">
        <f t="shared" si="8"/>
        <v/>
      </c>
      <c r="X5" s="14" t="str">
        <f t="shared" si="9"/>
        <v/>
      </c>
    </row>
    <row r="6" spans="1:24" s="4" customFormat="1" ht="73.5" customHeight="1">
      <c r="A6" s="107" t="s">
        <v>850</v>
      </c>
      <c r="B6" s="91" t="s">
        <v>861</v>
      </c>
      <c r="C6" s="91" t="s">
        <v>453</v>
      </c>
      <c r="D6" s="91" t="s">
        <v>916</v>
      </c>
      <c r="E6" s="91" t="s">
        <v>922</v>
      </c>
      <c r="F6" s="91" t="s">
        <v>52</v>
      </c>
      <c r="G6" s="91" t="s">
        <v>494</v>
      </c>
      <c r="H6" s="21" t="s">
        <v>54</v>
      </c>
      <c r="I6" s="91" t="s">
        <v>46</v>
      </c>
      <c r="J6" s="91">
        <v>150</v>
      </c>
      <c r="K6" s="91" t="s">
        <v>495</v>
      </c>
      <c r="L6" s="91" t="s">
        <v>496</v>
      </c>
      <c r="M6" s="109" t="s">
        <v>23</v>
      </c>
      <c r="N6" s="91"/>
      <c r="O6" s="91" t="str">
        <f t="shared" si="2"/>
        <v>W</v>
      </c>
      <c r="P6" s="26" t="str">
        <f t="shared" si="3"/>
        <v>NX</v>
      </c>
      <c r="Q6" s="26" t="str">
        <f t="shared" si="4"/>
        <v>ST</v>
      </c>
      <c r="R6" s="26" t="str">
        <f t="shared" si="5"/>
        <v>Lv 3</v>
      </c>
      <c r="S6" s="26" t="str">
        <f t="shared" si="6"/>
        <v>Lv 2</v>
      </c>
      <c r="T6" s="84" t="str">
        <f t="shared" si="7"/>
        <v/>
      </c>
      <c r="U6" s="14" t="str">
        <f t="shared" si="0"/>
        <v>FST</v>
      </c>
      <c r="V6" s="14" t="str">
        <f t="shared" si="1"/>
        <v>ZIP</v>
      </c>
      <c r="W6" s="138" t="str">
        <f t="shared" si="8"/>
        <v/>
      </c>
      <c r="X6" s="14" t="str">
        <f t="shared" si="9"/>
        <v/>
      </c>
    </row>
    <row r="7" spans="1:24" s="4" customFormat="1" ht="73.5" customHeight="1">
      <c r="A7" s="107" t="s">
        <v>850</v>
      </c>
      <c r="B7" s="91" t="s">
        <v>861</v>
      </c>
      <c r="C7" s="91" t="s">
        <v>455</v>
      </c>
      <c r="D7" s="91" t="s">
        <v>80</v>
      </c>
      <c r="E7" s="91" t="s">
        <v>1074</v>
      </c>
      <c r="F7" s="91" t="s">
        <v>161</v>
      </c>
      <c r="G7" s="91" t="s">
        <v>497</v>
      </c>
      <c r="H7" s="91" t="s">
        <v>70</v>
      </c>
      <c r="I7" s="91" t="s">
        <v>176</v>
      </c>
      <c r="J7" s="91">
        <v>139</v>
      </c>
      <c r="K7" s="91" t="s">
        <v>498</v>
      </c>
      <c r="L7" s="91" t="s">
        <v>499</v>
      </c>
      <c r="M7" s="109" t="s">
        <v>23</v>
      </c>
      <c r="N7" s="91"/>
      <c r="O7" s="91" t="str">
        <f t="shared" si="2"/>
        <v>W</v>
      </c>
      <c r="P7" s="26" t="str">
        <f t="shared" si="3"/>
        <v>N</v>
      </c>
      <c r="Q7" s="26" t="str">
        <f t="shared" si="4"/>
        <v>WR</v>
      </c>
      <c r="R7" s="26" t="str">
        <f t="shared" si="5"/>
        <v>Lv 1</v>
      </c>
      <c r="S7" s="26" t="str">
        <f t="shared" si="6"/>
        <v>Lv 2</v>
      </c>
      <c r="T7" s="84" t="str">
        <f t="shared" si="7"/>
        <v/>
      </c>
      <c r="U7" s="14" t="str">
        <f t="shared" si="0"/>
        <v>FST</v>
      </c>
      <c r="V7" s="14" t="str">
        <f t="shared" si="1"/>
        <v>SNP</v>
      </c>
      <c r="W7" s="138" t="str">
        <f t="shared" si="8"/>
        <v/>
      </c>
      <c r="X7" s="14" t="str">
        <f t="shared" si="9"/>
        <v/>
      </c>
    </row>
    <row r="8" spans="1:24" s="4" customFormat="1" ht="73.5" customHeight="1">
      <c r="A8" s="107" t="s">
        <v>850</v>
      </c>
      <c r="B8" s="91" t="s">
        <v>861</v>
      </c>
      <c r="C8" s="91" t="s">
        <v>455</v>
      </c>
      <c r="D8" s="91" t="s">
        <v>1075</v>
      </c>
      <c r="E8" s="91" t="s">
        <v>1076</v>
      </c>
      <c r="F8" s="91" t="s">
        <v>52</v>
      </c>
      <c r="G8" s="91" t="s">
        <v>53</v>
      </c>
      <c r="H8" s="91" t="s">
        <v>54</v>
      </c>
      <c r="I8" s="91" t="s">
        <v>55</v>
      </c>
      <c r="J8" s="91">
        <v>120</v>
      </c>
      <c r="K8" s="91" t="s">
        <v>500</v>
      </c>
      <c r="L8" s="91" t="s">
        <v>501</v>
      </c>
      <c r="M8" s="109" t="s">
        <v>23</v>
      </c>
      <c r="N8" s="91"/>
      <c r="O8" s="91" t="str">
        <f t="shared" si="2"/>
        <v>W</v>
      </c>
      <c r="P8" s="26" t="str">
        <f t="shared" si="3"/>
        <v>NX</v>
      </c>
      <c r="Q8" s="26" t="str">
        <f t="shared" si="4"/>
        <v>FN</v>
      </c>
      <c r="R8" s="26" t="str">
        <f t="shared" si="5"/>
        <v>Lv 3</v>
      </c>
      <c r="S8" s="26" t="str">
        <f t="shared" si="6"/>
        <v>Lv 2</v>
      </c>
      <c r="T8" s="84" t="str">
        <f t="shared" si="7"/>
        <v/>
      </c>
      <c r="U8" s="14" t="str">
        <f t="shared" si="0"/>
        <v>TRM</v>
      </c>
      <c r="V8" s="14" t="str">
        <f t="shared" si="1"/>
        <v>STR</v>
      </c>
      <c r="W8" s="138" t="str">
        <f t="shared" si="8"/>
        <v/>
      </c>
      <c r="X8" s="14" t="str">
        <f t="shared" si="9"/>
        <v/>
      </c>
    </row>
    <row r="9" spans="1:24" s="4" customFormat="1" ht="73.5" customHeight="1">
      <c r="A9" s="107" t="s">
        <v>850</v>
      </c>
      <c r="B9" s="91" t="s">
        <v>861</v>
      </c>
      <c r="C9" s="91" t="s">
        <v>89</v>
      </c>
      <c r="D9" s="91" t="s">
        <v>1077</v>
      </c>
      <c r="E9" s="91" t="s">
        <v>88</v>
      </c>
      <c r="F9" s="91" t="s">
        <v>89</v>
      </c>
      <c r="G9" s="91" t="s">
        <v>90</v>
      </c>
      <c r="H9" s="91" t="s">
        <v>54</v>
      </c>
      <c r="I9" s="91" t="s">
        <v>91</v>
      </c>
      <c r="J9" s="91">
        <v>120</v>
      </c>
      <c r="K9" s="91" t="s">
        <v>502</v>
      </c>
      <c r="L9" s="91" t="s">
        <v>503</v>
      </c>
      <c r="M9" s="109" t="s">
        <v>36</v>
      </c>
      <c r="N9" s="91" t="s">
        <v>1078</v>
      </c>
      <c r="O9" s="91" t="str">
        <f t="shared" si="2"/>
        <v>W</v>
      </c>
      <c r="P9" s="26" t="str">
        <f t="shared" si="3"/>
        <v>NX</v>
      </c>
      <c r="Q9" s="26" t="str">
        <f t="shared" si="4"/>
        <v>WP</v>
      </c>
      <c r="R9" s="26" t="str">
        <f t="shared" si="5"/>
        <v>Lv 3</v>
      </c>
      <c r="S9" s="26" t="str">
        <f t="shared" si="6"/>
        <v>Lv 2</v>
      </c>
      <c r="T9" s="84" t="str">
        <f t="shared" si="7"/>
        <v>W-NX-WP-Lv 3-Lv 2</v>
      </c>
      <c r="U9" s="14" t="str">
        <f t="shared" si="0"/>
        <v>ADH</v>
      </c>
      <c r="V9" s="14" t="str">
        <f t="shared" si="1"/>
        <v>SEA</v>
      </c>
      <c r="W9" s="138" t="str">
        <f t="shared" si="8"/>
        <v>ADH-SEA</v>
      </c>
      <c r="X9" s="14" t="str">
        <f t="shared" si="9"/>
        <v>⚠️ [공정 주의] 코팅 원단-심실링 작업: 원단 수축 및 외관 변형 확인</v>
      </c>
    </row>
    <row r="10" spans="1:24" s="4" customFormat="1" ht="73.5" customHeight="1">
      <c r="A10" s="91" t="s">
        <v>850</v>
      </c>
      <c r="B10" s="91" t="s">
        <v>861</v>
      </c>
      <c r="C10" s="91" t="s">
        <v>455</v>
      </c>
      <c r="D10" s="91" t="s">
        <v>80</v>
      </c>
      <c r="E10" s="91" t="s">
        <v>1079</v>
      </c>
      <c r="F10" s="91" t="s">
        <v>504</v>
      </c>
      <c r="G10" s="91" t="s">
        <v>505</v>
      </c>
      <c r="H10" s="91" t="s">
        <v>156</v>
      </c>
      <c r="I10" s="91" t="s">
        <v>35</v>
      </c>
      <c r="J10" s="91">
        <v>117</v>
      </c>
      <c r="K10" s="21" t="s">
        <v>1080</v>
      </c>
      <c r="L10" s="21" t="s">
        <v>506</v>
      </c>
      <c r="M10" s="91" t="s">
        <v>36</v>
      </c>
      <c r="N10" s="91" t="s">
        <v>1082</v>
      </c>
      <c r="O10" s="91" t="str">
        <f t="shared" si="2"/>
        <v>W</v>
      </c>
      <c r="P10" s="26" t="str">
        <f t="shared" si="3"/>
        <v>P</v>
      </c>
      <c r="Q10" s="26" t="str">
        <f t="shared" si="4"/>
        <v>WR</v>
      </c>
      <c r="R10" s="26" t="str">
        <f t="shared" si="5"/>
        <v>Lv 1</v>
      </c>
      <c r="S10" s="26" t="str">
        <f t="shared" si="6"/>
        <v>Lv 2</v>
      </c>
      <c r="T10" s="84" t="str">
        <f t="shared" si="7"/>
        <v>W-P-WR-Lv 1-Lv 2</v>
      </c>
      <c r="U10" s="14" t="str">
        <f t="shared" si="0"/>
        <v>RIB</v>
      </c>
      <c r="V10" s="14" t="str">
        <f t="shared" si="1"/>
        <v>YOKO</v>
      </c>
      <c r="W10" s="138" t="str">
        <f t="shared" si="8"/>
        <v>RIB-YOKO</v>
      </c>
      <c r="X10" s="14" t="str">
        <f t="shared" si="9"/>
        <v>⚠️ [외관 불량] 몸판-요꼬 중량/퀄리티 불일치: 넥 꿀렁임 점검</v>
      </c>
    </row>
    <row r="11" spans="1:24" s="4" customFormat="1" ht="73.5" customHeight="1">
      <c r="A11" s="91" t="s">
        <v>850</v>
      </c>
      <c r="B11" s="91" t="s">
        <v>861</v>
      </c>
      <c r="C11" s="91" t="s">
        <v>455</v>
      </c>
      <c r="D11" s="91" t="s">
        <v>80</v>
      </c>
      <c r="E11" s="91" t="s">
        <v>1079</v>
      </c>
      <c r="F11" s="91" t="s">
        <v>504</v>
      </c>
      <c r="G11" s="91" t="s">
        <v>505</v>
      </c>
      <c r="H11" s="91" t="s">
        <v>156</v>
      </c>
      <c r="I11" s="91" t="s">
        <v>35</v>
      </c>
      <c r="J11" s="91">
        <v>117</v>
      </c>
      <c r="K11" s="21" t="s">
        <v>1081</v>
      </c>
      <c r="L11" s="21" t="s">
        <v>506</v>
      </c>
      <c r="M11" s="91" t="s">
        <v>36</v>
      </c>
      <c r="N11" s="91" t="s">
        <v>1082</v>
      </c>
      <c r="O11" s="91" t="str">
        <f t="shared" si="2"/>
        <v>W</v>
      </c>
      <c r="P11" s="26" t="str">
        <f t="shared" si="3"/>
        <v>P</v>
      </c>
      <c r="Q11" s="26" t="str">
        <f t="shared" si="4"/>
        <v>WR</v>
      </c>
      <c r="R11" s="26" t="str">
        <f t="shared" si="5"/>
        <v>Lv 1</v>
      </c>
      <c r="S11" s="26" t="str">
        <f t="shared" si="6"/>
        <v>Lv 2</v>
      </c>
      <c r="T11" s="84" t="str">
        <f t="shared" si="7"/>
        <v>W-P-WR-Lv 1-Lv 2</v>
      </c>
      <c r="U11" s="14" t="str">
        <f t="shared" si="0"/>
        <v>ACC</v>
      </c>
      <c r="V11" s="14" t="str">
        <f t="shared" si="1"/>
        <v>FNC</v>
      </c>
      <c r="W11" s="138" t="str">
        <f t="shared" si="8"/>
        <v>ACC-FNC</v>
      </c>
      <c r="X11" s="14" t="str">
        <f t="shared" si="9"/>
        <v>⚠️ [이염 주의] 폴리 원단-부자재(팁/라벨): 승화 이염 및 표면 오염 확인</v>
      </c>
    </row>
    <row r="12" spans="1:24" s="4" customFormat="1" ht="73.5" customHeight="1">
      <c r="A12" s="107" t="s">
        <v>850</v>
      </c>
      <c r="B12" s="91" t="s">
        <v>861</v>
      </c>
      <c r="C12" s="91" t="s">
        <v>154</v>
      </c>
      <c r="D12" s="91" t="s">
        <v>862</v>
      </c>
      <c r="E12" s="91" t="s">
        <v>1083</v>
      </c>
      <c r="F12" s="91" t="s">
        <v>161</v>
      </c>
      <c r="G12" s="91" t="s">
        <v>1084</v>
      </c>
      <c r="H12" s="91" t="s">
        <v>507</v>
      </c>
      <c r="I12" s="91" t="s">
        <v>508</v>
      </c>
      <c r="J12" s="91">
        <v>160</v>
      </c>
      <c r="K12" s="21" t="s">
        <v>1085</v>
      </c>
      <c r="L12" s="21" t="s">
        <v>509</v>
      </c>
      <c r="M12" s="109" t="s">
        <v>36</v>
      </c>
      <c r="N12" s="91" t="s">
        <v>1082</v>
      </c>
      <c r="O12" s="91" t="str">
        <f t="shared" si="2"/>
        <v>W</v>
      </c>
      <c r="P12" s="26" t="str">
        <f t="shared" si="3"/>
        <v>NX</v>
      </c>
      <c r="Q12" s="26" t="str">
        <f t="shared" si="4"/>
        <v>FN</v>
      </c>
      <c r="R12" s="26" t="str">
        <f t="shared" si="5"/>
        <v>Lv 3</v>
      </c>
      <c r="S12" s="26" t="str">
        <f t="shared" si="6"/>
        <v>Lv 2</v>
      </c>
      <c r="T12" s="84" t="str">
        <f t="shared" si="7"/>
        <v>W-NX-FN-Lv 3-Lv 2</v>
      </c>
      <c r="U12" s="14" t="str">
        <f t="shared" si="0"/>
        <v>RIB</v>
      </c>
      <c r="V12" s="14" t="str">
        <f t="shared" si="1"/>
        <v>YOKO</v>
      </c>
      <c r="W12" s="138" t="str">
        <f t="shared" si="8"/>
        <v>RIB-YOKO</v>
      </c>
      <c r="X12" s="14" t="str">
        <f t="shared" si="9"/>
        <v>⚠️ [외관 불량] 몸판-요꼬 중량/퀄리티 불일치: 넥 꿀렁임 점검</v>
      </c>
    </row>
    <row r="13" spans="1:24" s="4" customFormat="1" ht="72.75" customHeight="1">
      <c r="A13" s="91" t="s">
        <v>135</v>
      </c>
      <c r="B13" s="91" t="s">
        <v>851</v>
      </c>
      <c r="C13" s="91" t="s">
        <v>479</v>
      </c>
      <c r="D13" s="91" t="s">
        <v>868</v>
      </c>
      <c r="E13" s="91" t="s">
        <v>1086</v>
      </c>
      <c r="F13" s="21" t="s">
        <v>161</v>
      </c>
      <c r="G13" s="91" t="s">
        <v>162</v>
      </c>
      <c r="H13" s="21" t="s">
        <v>163</v>
      </c>
      <c r="I13" s="91" t="s">
        <v>164</v>
      </c>
      <c r="J13" s="91">
        <v>155</v>
      </c>
      <c r="K13" s="21" t="s">
        <v>1087</v>
      </c>
      <c r="L13" s="91" t="s">
        <v>1089</v>
      </c>
      <c r="M13" s="21" t="s">
        <v>36</v>
      </c>
      <c r="N13" s="91" t="s">
        <v>1082</v>
      </c>
      <c r="O13" s="91" t="str">
        <f t="shared" si="2"/>
        <v>K</v>
      </c>
      <c r="P13" s="26" t="str">
        <f t="shared" si="3"/>
        <v>NX</v>
      </c>
      <c r="Q13" s="26" t="str">
        <f t="shared" si="4"/>
        <v>FN</v>
      </c>
      <c r="R13" s="26" t="str">
        <f t="shared" si="5"/>
        <v>Lv 3</v>
      </c>
      <c r="S13" s="26" t="str">
        <f t="shared" si="6"/>
        <v>Lv 2</v>
      </c>
      <c r="T13" s="84" t="str">
        <f t="shared" si="7"/>
        <v>K-NX-FN-Lv 3-Lv 2</v>
      </c>
      <c r="U13" s="14" t="str">
        <f t="shared" si="0"/>
        <v>RIB</v>
      </c>
      <c r="V13" s="14" t="str">
        <f t="shared" si="1"/>
        <v>YOKO</v>
      </c>
      <c r="W13" s="138" t="str">
        <f t="shared" si="8"/>
        <v>RIB-YOKO</v>
      </c>
      <c r="X13" s="14" t="str">
        <f t="shared" si="9"/>
        <v>⚠️ [외관 불량] 몸판-요꼬 중량/퀄리티 불일치: 넥 꿀렁임 점검</v>
      </c>
    </row>
    <row r="14" spans="1:24" s="4" customFormat="1" ht="94.5" customHeight="1">
      <c r="A14" s="91" t="s">
        <v>135</v>
      </c>
      <c r="B14" s="91" t="s">
        <v>851</v>
      </c>
      <c r="C14" s="91" t="s">
        <v>479</v>
      </c>
      <c r="D14" s="91" t="s">
        <v>868</v>
      </c>
      <c r="E14" s="91" t="s">
        <v>1086</v>
      </c>
      <c r="F14" s="21" t="s">
        <v>161</v>
      </c>
      <c r="G14" s="91" t="s">
        <v>162</v>
      </c>
      <c r="H14" s="21" t="s">
        <v>163</v>
      </c>
      <c r="I14" s="91" t="s">
        <v>164</v>
      </c>
      <c r="J14" s="91">
        <v>155</v>
      </c>
      <c r="K14" s="21" t="s">
        <v>1088</v>
      </c>
      <c r="L14" s="91" t="s">
        <v>1089</v>
      </c>
      <c r="M14" s="21" t="s">
        <v>36</v>
      </c>
      <c r="N14" s="91" t="s">
        <v>1082</v>
      </c>
      <c r="O14" s="91" t="str">
        <f t="shared" si="2"/>
        <v>K</v>
      </c>
      <c r="P14" s="26" t="str">
        <f t="shared" si="3"/>
        <v>NX</v>
      </c>
      <c r="Q14" s="26" t="str">
        <f t="shared" si="4"/>
        <v>FN</v>
      </c>
      <c r="R14" s="26" t="str">
        <f t="shared" si="5"/>
        <v>Lv 3</v>
      </c>
      <c r="S14" s="26" t="str">
        <f t="shared" si="6"/>
        <v>Lv 2</v>
      </c>
      <c r="T14" s="84" t="str">
        <f t="shared" si="7"/>
        <v>K-NX-FN-Lv 3-Lv 2</v>
      </c>
      <c r="U14" s="14" t="str">
        <f t="shared" si="0"/>
        <v>ACC</v>
      </c>
      <c r="V14" s="14" t="str">
        <f t="shared" si="1"/>
        <v>FNC</v>
      </c>
      <c r="W14" s="138" t="str">
        <f t="shared" si="8"/>
        <v>ACC-FNC</v>
      </c>
      <c r="X14" s="14" t="str">
        <f t="shared" si="9"/>
        <v>⚠️ [구조 주의] 고신축 원단-기능부속(3M/실리콘): 접착 부위 꿀렁임 및 퍼커링 점검</v>
      </c>
    </row>
    <row r="15" spans="1:24" s="4" customFormat="1" ht="94.5" customHeight="1">
      <c r="A15" s="107" t="s">
        <v>135</v>
      </c>
      <c r="B15" s="91" t="s">
        <v>851</v>
      </c>
      <c r="C15" s="91" t="s">
        <v>479</v>
      </c>
      <c r="D15" s="91" t="s">
        <v>868</v>
      </c>
      <c r="E15" s="91" t="s">
        <v>1090</v>
      </c>
      <c r="F15" s="21" t="s">
        <v>161</v>
      </c>
      <c r="G15" s="91" t="s">
        <v>510</v>
      </c>
      <c r="H15" s="21" t="s">
        <v>511</v>
      </c>
      <c r="I15" s="91" t="s">
        <v>508</v>
      </c>
      <c r="J15" s="91">
        <v>155</v>
      </c>
      <c r="K15" s="91" t="s">
        <v>1091</v>
      </c>
      <c r="L15" s="91" t="s">
        <v>1089</v>
      </c>
      <c r="M15" s="139" t="s">
        <v>36</v>
      </c>
      <c r="N15" s="91" t="s">
        <v>1082</v>
      </c>
      <c r="O15" s="91" t="str">
        <f t="shared" si="2"/>
        <v>K</v>
      </c>
      <c r="P15" s="26" t="str">
        <f t="shared" si="3"/>
        <v>NX</v>
      </c>
      <c r="Q15" s="26" t="str">
        <f t="shared" si="4"/>
        <v>FN</v>
      </c>
      <c r="R15" s="26" t="str">
        <f t="shared" si="5"/>
        <v>Lv 3</v>
      </c>
      <c r="S15" s="26" t="str">
        <f t="shared" si="6"/>
        <v>Lv 2</v>
      </c>
      <c r="T15" s="84" t="str">
        <f t="shared" si="7"/>
        <v>K-NX-FN-Lv 3-Lv 2</v>
      </c>
      <c r="U15" s="14" t="str">
        <f t="shared" si="0"/>
        <v>RIB</v>
      </c>
      <c r="V15" s="14" t="str">
        <f t="shared" si="1"/>
        <v>YOKO</v>
      </c>
      <c r="W15" s="138" t="str">
        <f t="shared" si="8"/>
        <v>RIB-YOKO</v>
      </c>
      <c r="X15" s="14" t="str">
        <f t="shared" si="9"/>
        <v>⚠️ [외관 불량] 몸판-요꼬 중량/퀄리티 불일치: 넥 꿀렁임 점검</v>
      </c>
    </row>
    <row r="16" spans="1:24" s="4" customFormat="1" ht="94.5" customHeight="1">
      <c r="A16" s="91" t="s">
        <v>135</v>
      </c>
      <c r="B16" s="91" t="s">
        <v>851</v>
      </c>
      <c r="C16" s="91" t="s">
        <v>852</v>
      </c>
      <c r="D16" s="91" t="s">
        <v>1092</v>
      </c>
      <c r="E16" s="91" t="s">
        <v>1093</v>
      </c>
      <c r="F16" s="91" t="s">
        <v>125</v>
      </c>
      <c r="G16" s="91" t="s">
        <v>131</v>
      </c>
      <c r="H16" s="21" t="s">
        <v>132</v>
      </c>
      <c r="I16" s="8" t="s">
        <v>133</v>
      </c>
      <c r="J16" s="91">
        <v>330</v>
      </c>
      <c r="K16" s="91" t="s">
        <v>419</v>
      </c>
      <c r="L16" s="91" t="s">
        <v>1094</v>
      </c>
      <c r="M16" s="109" t="s">
        <v>23</v>
      </c>
      <c r="N16" s="21"/>
      <c r="O16" s="91" t="str">
        <f t="shared" si="2"/>
        <v>K</v>
      </c>
      <c r="P16" s="26" t="str">
        <f t="shared" si="3"/>
        <v>P</v>
      </c>
      <c r="Q16" s="26" t="str">
        <f t="shared" si="4"/>
        <v>AF</v>
      </c>
      <c r="R16" s="26" t="str">
        <f t="shared" si="5"/>
        <v>Lv 3</v>
      </c>
      <c r="S16" s="26" t="str">
        <f t="shared" si="6"/>
        <v>Lv 4</v>
      </c>
      <c r="T16" s="84" t="str">
        <f t="shared" si="7"/>
        <v/>
      </c>
      <c r="U16" s="14" t="str">
        <f t="shared" si="0"/>
        <v>TRM</v>
      </c>
      <c r="V16" s="14" t="str">
        <f t="shared" si="1"/>
        <v>TAP</v>
      </c>
      <c r="W16" s="138" t="str">
        <f t="shared" si="8"/>
        <v/>
      </c>
      <c r="X16" s="14" t="str">
        <f t="shared" si="9"/>
        <v/>
      </c>
    </row>
    <row r="17" spans="1:24" s="4" customFormat="1" ht="94.5" customHeight="1">
      <c r="A17" s="107" t="s">
        <v>135</v>
      </c>
      <c r="B17" s="91" t="s">
        <v>861</v>
      </c>
      <c r="C17" s="91" t="s">
        <v>443</v>
      </c>
      <c r="D17" s="91" t="s">
        <v>901</v>
      </c>
      <c r="E17" s="91" t="s">
        <v>185</v>
      </c>
      <c r="F17" s="21" t="s">
        <v>173</v>
      </c>
      <c r="G17" s="91" t="s">
        <v>186</v>
      </c>
      <c r="H17" s="91" t="s">
        <v>156</v>
      </c>
      <c r="I17" s="91" t="s">
        <v>187</v>
      </c>
      <c r="J17" s="91">
        <v>102</v>
      </c>
      <c r="K17" s="91" t="s">
        <v>1095</v>
      </c>
      <c r="L17" s="91" t="s">
        <v>1096</v>
      </c>
      <c r="M17" s="139" t="s">
        <v>36</v>
      </c>
      <c r="N17" s="91"/>
      <c r="O17" s="91" t="str">
        <f t="shared" si="2"/>
        <v>W</v>
      </c>
      <c r="P17" s="26" t="str">
        <f t="shared" si="3"/>
        <v>P</v>
      </c>
      <c r="Q17" s="26" t="str">
        <f t="shared" si="4"/>
        <v>WR</v>
      </c>
      <c r="R17" s="26" t="str">
        <f t="shared" si="5"/>
        <v>Lv 1</v>
      </c>
      <c r="S17" s="26" t="str">
        <f t="shared" si="6"/>
        <v>Lv 2</v>
      </c>
      <c r="T17" s="84" t="str">
        <f t="shared" si="7"/>
        <v>W-P-WR-Lv 1-Lv 2</v>
      </c>
      <c r="U17" s="14" t="str">
        <f t="shared" si="0"/>
        <v>TRM</v>
      </c>
      <c r="V17" s="14" t="str">
        <f t="shared" si="1"/>
        <v>FNC</v>
      </c>
      <c r="W17" s="138" t="str">
        <f t="shared" si="8"/>
        <v>TRM-FNC</v>
      </c>
      <c r="X17" s="14" t="str">
        <f t="shared" si="9"/>
        <v>⚠️ [이염 주의] 폴리 원단-부자재(팁/라벨): 승화 이염 및 표면 오염 확인</v>
      </c>
    </row>
    <row r="18" spans="1:24" s="4" customFormat="1" ht="94.5" customHeight="1">
      <c r="A18" s="107" t="s">
        <v>135</v>
      </c>
      <c r="B18" s="91" t="s">
        <v>861</v>
      </c>
      <c r="C18" s="91" t="s">
        <v>443</v>
      </c>
      <c r="D18" s="91" t="s">
        <v>961</v>
      </c>
      <c r="E18" s="91" t="s">
        <v>191</v>
      </c>
      <c r="F18" s="91" t="s">
        <v>192</v>
      </c>
      <c r="G18" s="91" t="s">
        <v>193</v>
      </c>
      <c r="H18" s="91" t="s">
        <v>156</v>
      </c>
      <c r="I18" s="91" t="s">
        <v>194</v>
      </c>
      <c r="J18" s="91">
        <v>122</v>
      </c>
      <c r="K18" s="21" t="s">
        <v>1097</v>
      </c>
      <c r="L18" s="21" t="s">
        <v>1098</v>
      </c>
      <c r="M18" s="139" t="s">
        <v>36</v>
      </c>
      <c r="N18" s="91"/>
      <c r="O18" s="91" t="str">
        <f t="shared" si="2"/>
        <v>W</v>
      </c>
      <c r="P18" s="26" t="str">
        <f t="shared" si="3"/>
        <v>P</v>
      </c>
      <c r="Q18" s="26" t="str">
        <f t="shared" si="4"/>
        <v>WP</v>
      </c>
      <c r="R18" s="26" t="str">
        <f t="shared" si="5"/>
        <v>Lv 1</v>
      </c>
      <c r="S18" s="26" t="str">
        <f t="shared" si="6"/>
        <v>Lv 2</v>
      </c>
      <c r="T18" s="84" t="str">
        <f t="shared" si="7"/>
        <v>W-P-WP-Lv 1-Lv 2</v>
      </c>
      <c r="U18" s="14" t="str">
        <f t="shared" si="0"/>
        <v>FST</v>
      </c>
      <c r="V18" s="14" t="str">
        <f t="shared" si="1"/>
        <v>ZIP</v>
      </c>
      <c r="W18" s="138" t="str">
        <f t="shared" si="8"/>
        <v>FST-ZIP</v>
      </c>
      <c r="X18" s="14" t="str">
        <f t="shared" si="9"/>
        <v>⚠️ [화학 주의] 코팅 원단-금속 부자재 오염 및 박리 위험 확인</v>
      </c>
    </row>
    <row r="19" spans="1:24" s="4" customFormat="1" ht="84" customHeight="1">
      <c r="A19" s="107" t="s">
        <v>135</v>
      </c>
      <c r="B19" s="91" t="s">
        <v>861</v>
      </c>
      <c r="C19" s="91" t="s">
        <v>453</v>
      </c>
      <c r="D19" s="91" t="s">
        <v>916</v>
      </c>
      <c r="E19" s="91" t="s">
        <v>1099</v>
      </c>
      <c r="F19" s="91" t="s">
        <v>192</v>
      </c>
      <c r="G19" s="91" t="s">
        <v>193</v>
      </c>
      <c r="H19" s="21" t="s">
        <v>156</v>
      </c>
      <c r="I19" s="91" t="s">
        <v>194</v>
      </c>
      <c r="J19" s="91">
        <v>122</v>
      </c>
      <c r="K19" s="21" t="s">
        <v>1100</v>
      </c>
      <c r="L19" s="21" t="s">
        <v>1101</v>
      </c>
      <c r="M19" s="139" t="s">
        <v>23</v>
      </c>
      <c r="N19" s="91"/>
      <c r="O19" s="91" t="str">
        <f t="shared" si="2"/>
        <v>W</v>
      </c>
      <c r="P19" s="26" t="str">
        <f t="shared" si="3"/>
        <v>P</v>
      </c>
      <c r="Q19" s="26" t="str">
        <f t="shared" si="4"/>
        <v>WP</v>
      </c>
      <c r="R19" s="26" t="str">
        <f t="shared" si="5"/>
        <v>Lv 1</v>
      </c>
      <c r="S19" s="26" t="str">
        <f t="shared" si="6"/>
        <v>Lv 2</v>
      </c>
      <c r="T19" s="84" t="str">
        <f t="shared" si="7"/>
        <v/>
      </c>
      <c r="U19" s="14" t="str">
        <f t="shared" si="0"/>
        <v>ACC</v>
      </c>
      <c r="V19" s="14" t="str">
        <f t="shared" si="1"/>
        <v>FNC</v>
      </c>
      <c r="W19" s="138" t="str">
        <f t="shared" si="8"/>
        <v/>
      </c>
      <c r="X19" s="14" t="str">
        <f t="shared" si="9"/>
        <v/>
      </c>
    </row>
    <row r="20" spans="1:24" s="4" customFormat="1" ht="84" customHeight="1">
      <c r="A20" s="107" t="s">
        <v>135</v>
      </c>
      <c r="B20" s="91" t="s">
        <v>861</v>
      </c>
      <c r="C20" s="91" t="s">
        <v>89</v>
      </c>
      <c r="D20" s="91" t="s">
        <v>979</v>
      </c>
      <c r="E20" s="91" t="s">
        <v>1102</v>
      </c>
      <c r="F20" s="91" t="s">
        <v>60</v>
      </c>
      <c r="G20" s="91" t="s">
        <v>512</v>
      </c>
      <c r="H20" s="91" t="s">
        <v>156</v>
      </c>
      <c r="I20" s="91" t="s">
        <v>203</v>
      </c>
      <c r="J20" s="91">
        <v>95</v>
      </c>
      <c r="K20" s="21" t="s">
        <v>1103</v>
      </c>
      <c r="L20" s="21" t="s">
        <v>1104</v>
      </c>
      <c r="M20" s="139" t="s">
        <v>36</v>
      </c>
      <c r="N20" s="91" t="s">
        <v>1105</v>
      </c>
      <c r="O20" s="91" t="str">
        <f t="shared" si="2"/>
        <v>W</v>
      </c>
      <c r="P20" s="26" t="str">
        <f t="shared" si="3"/>
        <v>P</v>
      </c>
      <c r="Q20" s="26" t="str">
        <f t="shared" si="4"/>
        <v>WR</v>
      </c>
      <c r="R20" s="26" t="str">
        <f t="shared" si="5"/>
        <v>Lv 1</v>
      </c>
      <c r="S20" s="26" t="str">
        <f t="shared" si="6"/>
        <v>Lv 2</v>
      </c>
      <c r="T20" s="84" t="str">
        <f t="shared" si="7"/>
        <v>W-P-WR-Lv 1-Lv 2</v>
      </c>
      <c r="U20" s="14" t="str">
        <f t="shared" si="0"/>
        <v>ACC</v>
      </c>
      <c r="V20" s="14" t="str">
        <f t="shared" si="1"/>
        <v>FNC</v>
      </c>
      <c r="W20" s="138" t="str">
        <f t="shared" si="8"/>
        <v>ACC-FNC</v>
      </c>
      <c r="X20" s="14" t="str">
        <f t="shared" si="9"/>
        <v>⚠️ [이염 주의] 폴리 원단-부자재(팁/라벨): 승화 이염 및 표면 오염 확인</v>
      </c>
    </row>
    <row r="21" spans="1:24" s="4" customFormat="1" ht="84" customHeight="1">
      <c r="A21" s="91" t="s">
        <v>484</v>
      </c>
      <c r="B21" s="91" t="s">
        <v>851</v>
      </c>
      <c r="C21" s="91" t="s">
        <v>479</v>
      </c>
      <c r="D21" s="91" t="s">
        <v>1013</v>
      </c>
      <c r="E21" s="91" t="s">
        <v>1014</v>
      </c>
      <c r="F21" s="14" t="s">
        <v>52</v>
      </c>
      <c r="G21" s="18" t="s">
        <v>1015</v>
      </c>
      <c r="H21" s="14" t="s">
        <v>45</v>
      </c>
      <c r="I21" s="14" t="s">
        <v>35</v>
      </c>
      <c r="J21" s="18">
        <v>128</v>
      </c>
      <c r="K21" s="21" t="s">
        <v>1106</v>
      </c>
      <c r="L21" s="21" t="s">
        <v>509</v>
      </c>
      <c r="M21" s="21" t="s">
        <v>36</v>
      </c>
      <c r="N21" s="91" t="s">
        <v>1082</v>
      </c>
      <c r="O21" s="91" t="str">
        <f t="shared" si="2"/>
        <v>K</v>
      </c>
      <c r="P21" s="26" t="str">
        <f t="shared" si="3"/>
        <v>NX</v>
      </c>
      <c r="Q21" s="26" t="str">
        <f t="shared" si="4"/>
        <v>WR</v>
      </c>
      <c r="R21" s="26" t="str">
        <f t="shared" si="5"/>
        <v>Lv 3</v>
      </c>
      <c r="S21" s="26" t="str">
        <f t="shared" si="6"/>
        <v>Lv 2</v>
      </c>
      <c r="T21" s="84" t="str">
        <f t="shared" si="7"/>
        <v>K-NX-WR-Lv 3-Lv 2</v>
      </c>
      <c r="U21" s="14" t="str">
        <f t="shared" si="0"/>
        <v>RIB</v>
      </c>
      <c r="V21" s="14" t="str">
        <f t="shared" si="1"/>
        <v>YOKO</v>
      </c>
      <c r="W21" s="138" t="str">
        <f t="shared" si="8"/>
        <v>RIB-YOKO</v>
      </c>
      <c r="X21" s="14" t="str">
        <f t="shared" si="9"/>
        <v>⚠️ [외관 불량] 몸판-요꼬 중량/퀄리티 불일치: 넥 꿀렁임 점검</v>
      </c>
    </row>
    <row r="22" spans="1:24" s="4" customFormat="1" ht="84" customHeight="1">
      <c r="A22" s="91" t="s">
        <v>484</v>
      </c>
      <c r="B22" s="91" t="s">
        <v>851</v>
      </c>
      <c r="C22" s="91" t="s">
        <v>479</v>
      </c>
      <c r="D22" s="91" t="s">
        <v>1013</v>
      </c>
      <c r="E22" s="91" t="s">
        <v>1014</v>
      </c>
      <c r="F22" s="14" t="s">
        <v>52</v>
      </c>
      <c r="G22" s="18" t="s">
        <v>1015</v>
      </c>
      <c r="H22" s="14" t="s">
        <v>45</v>
      </c>
      <c r="I22" s="14" t="s">
        <v>35</v>
      </c>
      <c r="J22" s="18">
        <v>128</v>
      </c>
      <c r="K22" s="21" t="s">
        <v>1107</v>
      </c>
      <c r="L22" s="21" t="s">
        <v>509</v>
      </c>
      <c r="M22" s="21" t="s">
        <v>36</v>
      </c>
      <c r="N22" s="91" t="s">
        <v>1082</v>
      </c>
      <c r="O22" s="91" t="str">
        <f t="shared" ref="O22" si="10">_xlfn.IFS(B22="다이마루","K",B22="우븐","W",B22="스웨터","S",B22="데님","D")</f>
        <v>K</v>
      </c>
      <c r="P22" s="26" t="str">
        <f t="shared" si="3"/>
        <v>NX</v>
      </c>
      <c r="Q22" s="26" t="str">
        <f t="shared" si="4"/>
        <v>WR</v>
      </c>
      <c r="R22" s="26" t="str">
        <f t="shared" si="5"/>
        <v>Lv 3</v>
      </c>
      <c r="S22" s="26" t="str">
        <f t="shared" si="6"/>
        <v>Lv 2</v>
      </c>
      <c r="T22" s="84" t="str">
        <f t="shared" si="7"/>
        <v>K-NX-WR-Lv 3-Lv 2</v>
      </c>
      <c r="U22" s="14" t="str">
        <f t="shared" si="0"/>
        <v>ACC</v>
      </c>
      <c r="V22" s="14" t="str">
        <f t="shared" si="1"/>
        <v>FNC</v>
      </c>
      <c r="W22" s="138" t="str">
        <f t="shared" si="8"/>
        <v>ACC-FNC</v>
      </c>
      <c r="X22" s="14" t="str">
        <f t="shared" si="9"/>
        <v>⚠️ [구조 주의] 고신축 원단-기능부속(3M/실리콘): 접착 부위 꿀렁임 및 퍼커링 점검</v>
      </c>
    </row>
    <row r="23" spans="1:24" s="4" customFormat="1" ht="84" customHeight="1">
      <c r="A23" s="161" t="s">
        <v>484</v>
      </c>
      <c r="B23" s="159" t="s">
        <v>851</v>
      </c>
      <c r="C23" s="159" t="s">
        <v>479</v>
      </c>
      <c r="D23" s="159" t="s">
        <v>1108</v>
      </c>
      <c r="E23" s="159" t="s">
        <v>1109</v>
      </c>
      <c r="F23" s="163" t="s">
        <v>479</v>
      </c>
      <c r="G23" s="163" t="s">
        <v>1110</v>
      </c>
      <c r="H23" s="163" t="s">
        <v>1111</v>
      </c>
      <c r="I23" s="163" t="s">
        <v>1112</v>
      </c>
      <c r="J23" s="163">
        <v>280</v>
      </c>
      <c r="K23" s="99" t="s">
        <v>1113</v>
      </c>
      <c r="L23" s="157" t="s">
        <v>1115</v>
      </c>
      <c r="M23" s="165" t="s">
        <v>23</v>
      </c>
      <c r="N23" s="167"/>
      <c r="O23" s="91" t="str">
        <f t="shared" si="2"/>
        <v>K</v>
      </c>
      <c r="P23" s="26" t="str">
        <f t="shared" si="3"/>
        <v>CX</v>
      </c>
      <c r="Q23" s="26" t="str">
        <f t="shared" si="4"/>
        <v>AF</v>
      </c>
      <c r="R23" s="26" t="str">
        <f t="shared" si="5"/>
        <v>Lv 3</v>
      </c>
      <c r="S23" s="26" t="str">
        <f t="shared" si="6"/>
        <v>Lv 4</v>
      </c>
      <c r="T23" s="84" t="str">
        <f t="shared" si="7"/>
        <v/>
      </c>
      <c r="U23" s="14" t="str">
        <f t="shared" si="0"/>
        <v>ACC</v>
      </c>
      <c r="V23" s="14" t="str">
        <f t="shared" si="1"/>
        <v>FNC</v>
      </c>
      <c r="W23" s="138" t="str">
        <f t="shared" si="8"/>
        <v/>
      </c>
      <c r="X23" s="14" t="str">
        <f t="shared" si="9"/>
        <v/>
      </c>
    </row>
    <row r="24" spans="1:24" s="4" customFormat="1" ht="84" customHeight="1">
      <c r="A24" s="162"/>
      <c r="B24" s="160"/>
      <c r="C24" s="160"/>
      <c r="D24" s="160"/>
      <c r="E24" s="160"/>
      <c r="F24" s="164"/>
      <c r="G24" s="164"/>
      <c r="H24" s="164"/>
      <c r="I24" s="164"/>
      <c r="J24" s="164"/>
      <c r="K24" s="30" t="s">
        <v>1114</v>
      </c>
      <c r="L24" s="158"/>
      <c r="M24" s="166"/>
      <c r="N24" s="167"/>
      <c r="O24" s="91" t="e">
        <f t="shared" si="2"/>
        <v>#N/A</v>
      </c>
      <c r="P24" s="26" t="str">
        <f t="shared" si="3"/>
        <v/>
      </c>
      <c r="Q24" s="26" t="str">
        <f t="shared" si="4"/>
        <v>ST</v>
      </c>
      <c r="R24" s="26" t="str">
        <f t="shared" si="5"/>
        <v/>
      </c>
      <c r="S24" s="26" t="str">
        <f t="shared" si="6"/>
        <v/>
      </c>
      <c r="T24" s="84" t="str">
        <f t="shared" si="7"/>
        <v/>
      </c>
      <c r="U24" s="14" t="str">
        <f t="shared" si="0"/>
        <v>RIB</v>
      </c>
      <c r="V24" s="14" t="str">
        <f t="shared" si="1"/>
        <v>YOKO</v>
      </c>
      <c r="W24" s="138" t="str">
        <f t="shared" si="8"/>
        <v/>
      </c>
      <c r="X24" s="14" t="str">
        <f t="shared" si="9"/>
        <v/>
      </c>
    </row>
    <row r="25" spans="1:24" s="4" customFormat="1" ht="114.75" customHeight="1">
      <c r="A25" s="91" t="s">
        <v>484</v>
      </c>
      <c r="B25" s="91" t="s">
        <v>851</v>
      </c>
      <c r="C25" s="91" t="s">
        <v>479</v>
      </c>
      <c r="D25" s="91" t="s">
        <v>1116</v>
      </c>
      <c r="E25" s="91" t="s">
        <v>1117</v>
      </c>
      <c r="F25" s="14" t="s">
        <v>52</v>
      </c>
      <c r="G25" s="18" t="s">
        <v>1041</v>
      </c>
      <c r="H25" s="91" t="s">
        <v>1042</v>
      </c>
      <c r="I25" s="21" t="s">
        <v>35</v>
      </c>
      <c r="J25" s="21">
        <v>115</v>
      </c>
      <c r="K25" s="21" t="s">
        <v>1106</v>
      </c>
      <c r="L25" s="21" t="s">
        <v>1118</v>
      </c>
      <c r="M25" s="21" t="s">
        <v>36</v>
      </c>
      <c r="N25" s="91" t="s">
        <v>1082</v>
      </c>
      <c r="O25" s="91" t="str">
        <f t="shared" si="2"/>
        <v>K</v>
      </c>
      <c r="P25" s="26" t="str">
        <f t="shared" si="3"/>
        <v>NX</v>
      </c>
      <c r="Q25" s="26" t="str">
        <f t="shared" si="4"/>
        <v>WR</v>
      </c>
      <c r="R25" s="26" t="str">
        <f t="shared" si="5"/>
        <v>Lv 3</v>
      </c>
      <c r="S25" s="26" t="str">
        <f t="shared" si="6"/>
        <v>Lv 2</v>
      </c>
      <c r="T25" s="84" t="str">
        <f t="shared" si="7"/>
        <v>K-NX-WR-Lv 3-Lv 2</v>
      </c>
      <c r="U25" s="14" t="str">
        <f t="shared" si="0"/>
        <v>RIB</v>
      </c>
      <c r="V25" s="14" t="str">
        <f t="shared" si="1"/>
        <v>YOKO</v>
      </c>
      <c r="W25" s="138" t="str">
        <f t="shared" si="8"/>
        <v>RIB-YOKO</v>
      </c>
      <c r="X25" s="14" t="str">
        <f t="shared" si="9"/>
        <v>⚠️ [외관 불량] 몸판-요꼬 중량/퀄리티 불일치: 넥 꿀렁임 점검</v>
      </c>
    </row>
    <row r="26" spans="1:24" ht="114.75" customHeight="1">
      <c r="A26" s="91" t="s">
        <v>484</v>
      </c>
      <c r="B26" s="91" t="s">
        <v>851</v>
      </c>
      <c r="C26" s="91" t="s">
        <v>479</v>
      </c>
      <c r="D26" s="91" t="s">
        <v>1116</v>
      </c>
      <c r="E26" s="91" t="s">
        <v>1117</v>
      </c>
      <c r="F26" s="14" t="s">
        <v>52</v>
      </c>
      <c r="G26" s="18" t="s">
        <v>1041</v>
      </c>
      <c r="H26" s="91" t="s">
        <v>1042</v>
      </c>
      <c r="I26" s="21" t="s">
        <v>35</v>
      </c>
      <c r="J26" s="21">
        <v>115</v>
      </c>
      <c r="K26" s="21" t="s">
        <v>1107</v>
      </c>
      <c r="L26" s="21" t="s">
        <v>1118</v>
      </c>
      <c r="M26" s="21" t="s">
        <v>36</v>
      </c>
      <c r="N26" s="91" t="s">
        <v>1082</v>
      </c>
      <c r="O26" s="91" t="str">
        <f t="shared" si="2"/>
        <v>K</v>
      </c>
      <c r="P26" s="26" t="str">
        <f t="shared" si="3"/>
        <v>NX</v>
      </c>
      <c r="Q26" s="26" t="str">
        <f t="shared" si="4"/>
        <v>WR</v>
      </c>
      <c r="R26" s="26" t="str">
        <f t="shared" si="5"/>
        <v>Lv 3</v>
      </c>
      <c r="S26" s="26" t="str">
        <f t="shared" si="6"/>
        <v>Lv 2</v>
      </c>
      <c r="T26" s="84" t="str">
        <f t="shared" si="7"/>
        <v>K-NX-WR-Lv 3-Lv 2</v>
      </c>
      <c r="U26" s="14" t="str">
        <f t="shared" si="0"/>
        <v>ACC</v>
      </c>
      <c r="V26" s="14" t="str">
        <f t="shared" si="1"/>
        <v>FNC</v>
      </c>
      <c r="W26" s="138" t="str">
        <f t="shared" si="8"/>
        <v>ACC-FNC</v>
      </c>
      <c r="X26" s="14" t="str">
        <f t="shared" si="9"/>
        <v>⚠️ [구조 주의] 고신축 원단-기능부속(3M/실리콘): 접착 부위 꿀렁임 및 퍼커링 점검</v>
      </c>
    </row>
    <row r="27" spans="1:24" ht="114.75" customHeight="1">
      <c r="A27" s="91" t="s">
        <v>484</v>
      </c>
      <c r="B27" s="91" t="s">
        <v>851</v>
      </c>
      <c r="C27" s="91" t="s">
        <v>479</v>
      </c>
      <c r="D27" s="91" t="s">
        <v>1116</v>
      </c>
      <c r="E27" s="91" t="s">
        <v>1119</v>
      </c>
      <c r="F27" s="14" t="s">
        <v>52</v>
      </c>
      <c r="G27" s="18" t="s">
        <v>1015</v>
      </c>
      <c r="H27" s="14" t="s">
        <v>45</v>
      </c>
      <c r="I27" s="14" t="s">
        <v>35</v>
      </c>
      <c r="J27" s="18">
        <v>128</v>
      </c>
      <c r="K27" s="21" t="s">
        <v>1106</v>
      </c>
      <c r="L27" s="21" t="s">
        <v>509</v>
      </c>
      <c r="M27" s="21" t="s">
        <v>36</v>
      </c>
      <c r="N27" s="91" t="s">
        <v>1082</v>
      </c>
      <c r="O27" s="91" t="str">
        <f t="shared" si="2"/>
        <v>K</v>
      </c>
      <c r="P27" s="26" t="str">
        <f t="shared" si="3"/>
        <v>NX</v>
      </c>
      <c r="Q27" s="26" t="str">
        <f t="shared" si="4"/>
        <v>WR</v>
      </c>
      <c r="R27" s="26" t="str">
        <f t="shared" si="5"/>
        <v>Lv 3</v>
      </c>
      <c r="S27" s="26" t="str">
        <f t="shared" si="6"/>
        <v>Lv 2</v>
      </c>
      <c r="T27" s="84" t="str">
        <f t="shared" si="7"/>
        <v>K-NX-WR-Lv 3-Lv 2</v>
      </c>
      <c r="U27" s="14" t="str">
        <f t="shared" si="0"/>
        <v>RIB</v>
      </c>
      <c r="V27" s="14" t="str">
        <f t="shared" si="1"/>
        <v>YOKO</v>
      </c>
      <c r="W27" s="138" t="str">
        <f t="shared" si="8"/>
        <v>RIB-YOKO</v>
      </c>
      <c r="X27" s="14" t="str">
        <f t="shared" si="9"/>
        <v>⚠️ [외관 불량] 몸판-요꼬 중량/퀄리티 불일치: 넥 꿀렁임 점검</v>
      </c>
    </row>
    <row r="28" spans="1:24" ht="114.75" customHeight="1">
      <c r="A28" s="91" t="s">
        <v>484</v>
      </c>
      <c r="B28" s="91" t="s">
        <v>851</v>
      </c>
      <c r="C28" s="91" t="s">
        <v>479</v>
      </c>
      <c r="D28" s="91" t="s">
        <v>1116</v>
      </c>
      <c r="E28" s="91" t="s">
        <v>1119</v>
      </c>
      <c r="F28" s="14" t="s">
        <v>52</v>
      </c>
      <c r="G28" s="18" t="s">
        <v>1015</v>
      </c>
      <c r="H28" s="14" t="s">
        <v>45</v>
      </c>
      <c r="I28" s="14" t="s">
        <v>35</v>
      </c>
      <c r="J28" s="18">
        <v>128</v>
      </c>
      <c r="K28" s="21" t="s">
        <v>1107</v>
      </c>
      <c r="L28" s="21" t="s">
        <v>509</v>
      </c>
      <c r="M28" s="21" t="s">
        <v>36</v>
      </c>
      <c r="N28" s="91" t="s">
        <v>1082</v>
      </c>
      <c r="O28" s="91" t="str">
        <f t="shared" si="2"/>
        <v>K</v>
      </c>
      <c r="P28" s="26" t="str">
        <f t="shared" si="3"/>
        <v>NX</v>
      </c>
      <c r="Q28" s="26" t="str">
        <f t="shared" si="4"/>
        <v>WR</v>
      </c>
      <c r="R28" s="26" t="str">
        <f t="shared" si="5"/>
        <v>Lv 3</v>
      </c>
      <c r="S28" s="26" t="str">
        <f t="shared" si="6"/>
        <v>Lv 2</v>
      </c>
      <c r="T28" s="84" t="str">
        <f t="shared" si="7"/>
        <v>K-NX-WR-Lv 3-Lv 2</v>
      </c>
      <c r="U28" s="14" t="str">
        <f t="shared" si="0"/>
        <v>ACC</v>
      </c>
      <c r="V28" s="14" t="str">
        <f t="shared" si="1"/>
        <v>FNC</v>
      </c>
      <c r="W28" s="138" t="str">
        <f t="shared" si="8"/>
        <v>ACC-FNC</v>
      </c>
      <c r="X28" s="14" t="str">
        <f t="shared" si="9"/>
        <v>⚠️ [구조 주의] 고신축 원단-기능부속(3M/실리콘): 접착 부위 꿀렁임 및 퍼커링 점검</v>
      </c>
    </row>
    <row r="29" spans="1:24" ht="114.75" customHeight="1">
      <c r="A29" s="107" t="s">
        <v>484</v>
      </c>
      <c r="B29" s="91" t="s">
        <v>861</v>
      </c>
      <c r="C29" s="91" t="s">
        <v>974</v>
      </c>
      <c r="D29" s="91" t="s">
        <v>975</v>
      </c>
      <c r="E29" s="91" t="s">
        <v>1120</v>
      </c>
      <c r="F29" s="14" t="s">
        <v>161</v>
      </c>
      <c r="G29" s="18" t="s">
        <v>1121</v>
      </c>
      <c r="H29" s="100" t="s">
        <v>70</v>
      </c>
      <c r="I29" s="8" t="s">
        <v>35</v>
      </c>
      <c r="J29" s="100">
        <v>91</v>
      </c>
      <c r="K29" s="21" t="s">
        <v>1122</v>
      </c>
      <c r="L29" s="91" t="s">
        <v>1123</v>
      </c>
      <c r="M29" s="139" t="s">
        <v>36</v>
      </c>
      <c r="N29" s="91" t="s">
        <v>1124</v>
      </c>
      <c r="O29" s="91" t="str">
        <f t="shared" si="2"/>
        <v>W</v>
      </c>
      <c r="P29" s="26" t="str">
        <f t="shared" si="3"/>
        <v>N</v>
      </c>
      <c r="Q29" s="26" t="str">
        <f t="shared" si="4"/>
        <v>WR</v>
      </c>
      <c r="R29" s="26" t="str">
        <f t="shared" si="5"/>
        <v>Lv 1</v>
      </c>
      <c r="S29" s="26" t="str">
        <f t="shared" si="6"/>
        <v>Lv 2</v>
      </c>
      <c r="T29" s="84" t="str">
        <f t="shared" si="7"/>
        <v>W-N-WR-Lv 1-Lv 2</v>
      </c>
      <c r="U29" s="14" t="str">
        <f t="shared" si="0"/>
        <v>ACC</v>
      </c>
      <c r="V29" s="14" t="str">
        <f t="shared" si="1"/>
        <v>TAP</v>
      </c>
      <c r="W29" s="138" t="str">
        <f t="shared" si="8"/>
        <v>ACC-TAP</v>
      </c>
      <c r="X29" s="14" t="str">
        <f t="shared" si="9"/>
        <v>⚠️ [축률 주의] 우븐-테이프/파이핑: 축률 편차에 의한 봉제선 꼬임 및 퍼커링 확인</v>
      </c>
    </row>
    <row r="30" spans="1:24" ht="114.75" customHeight="1">
      <c r="A30" s="123" t="s">
        <v>484</v>
      </c>
      <c r="B30" s="98" t="s">
        <v>861</v>
      </c>
      <c r="C30" s="98" t="s">
        <v>455</v>
      </c>
      <c r="D30" s="98" t="s">
        <v>928</v>
      </c>
      <c r="E30" s="98" t="s">
        <v>1125</v>
      </c>
      <c r="F30" s="101" t="s">
        <v>161</v>
      </c>
      <c r="G30" s="102" t="s">
        <v>1126</v>
      </c>
      <c r="H30" s="122" t="s">
        <v>156</v>
      </c>
      <c r="I30" s="124" t="s">
        <v>23</v>
      </c>
      <c r="J30" s="122">
        <v>102</v>
      </c>
      <c r="K30" s="21" t="s">
        <v>1127</v>
      </c>
      <c r="L30" s="91" t="s">
        <v>1129</v>
      </c>
      <c r="M30" s="139" t="s">
        <v>36</v>
      </c>
      <c r="N30" s="141"/>
      <c r="O30" s="91" t="str">
        <f t="shared" si="2"/>
        <v>W</v>
      </c>
      <c r="P30" s="26" t="str">
        <f t="shared" si="3"/>
        <v>P</v>
      </c>
      <c r="Q30" s="26" t="str">
        <f t="shared" si="4"/>
        <v>ST</v>
      </c>
      <c r="R30" s="26" t="str">
        <f t="shared" si="5"/>
        <v>Lv 1</v>
      </c>
      <c r="S30" s="26" t="str">
        <f t="shared" si="6"/>
        <v>Lv 2</v>
      </c>
      <c r="T30" s="84" t="str">
        <f t="shared" si="7"/>
        <v>W-P-ST-Lv 1-Lv 2</v>
      </c>
      <c r="U30" s="14" t="str">
        <f t="shared" si="0"/>
        <v>TRM</v>
      </c>
      <c r="V30" s="14" t="str">
        <f t="shared" si="1"/>
        <v>STR</v>
      </c>
      <c r="W30" s="138" t="str">
        <f t="shared" si="8"/>
        <v>TRM-STR</v>
      </c>
      <c r="X30" s="14" t="str">
        <f t="shared" si="9"/>
        <v>⚠️ [이염 주의] 폴리 원단-부자재(팁/라벨): 승화 이염 및 표면 오염 확인</v>
      </c>
    </row>
    <row r="31" spans="1:24" ht="114.75" customHeight="1">
      <c r="A31" s="123" t="s">
        <v>484</v>
      </c>
      <c r="B31" s="98" t="s">
        <v>861</v>
      </c>
      <c r="C31" s="98" t="s">
        <v>455</v>
      </c>
      <c r="D31" s="98" t="s">
        <v>928</v>
      </c>
      <c r="E31" s="98" t="s">
        <v>1125</v>
      </c>
      <c r="F31" s="101" t="s">
        <v>161</v>
      </c>
      <c r="G31" s="102" t="s">
        <v>1126</v>
      </c>
      <c r="H31" s="122" t="s">
        <v>156</v>
      </c>
      <c r="I31" s="124" t="s">
        <v>23</v>
      </c>
      <c r="J31" s="122">
        <v>102</v>
      </c>
      <c r="K31" s="30" t="s">
        <v>1128</v>
      </c>
      <c r="L31" s="121" t="s">
        <v>1129</v>
      </c>
      <c r="M31" s="140" t="s">
        <v>36</v>
      </c>
      <c r="N31" s="141"/>
      <c r="O31" s="91" t="str">
        <f t="shared" si="2"/>
        <v>W</v>
      </c>
      <c r="P31" s="26" t="str">
        <f t="shared" si="3"/>
        <v>P</v>
      </c>
      <c r="Q31" s="26" t="str">
        <f t="shared" si="4"/>
        <v>ST</v>
      </c>
      <c r="R31" s="26" t="str">
        <f t="shared" si="5"/>
        <v>Lv 1</v>
      </c>
      <c r="S31" s="26" t="str">
        <f t="shared" si="6"/>
        <v>Lv 2</v>
      </c>
      <c r="T31" s="84" t="str">
        <f t="shared" si="7"/>
        <v>W-P-ST-Lv 1-Lv 2</v>
      </c>
      <c r="U31" s="14" t="str">
        <f t="shared" si="0"/>
        <v>ACC</v>
      </c>
      <c r="V31" s="14" t="str">
        <f t="shared" si="1"/>
        <v>FNC</v>
      </c>
      <c r="W31" s="138" t="str">
        <f t="shared" si="8"/>
        <v>ACC-FNC</v>
      </c>
      <c r="X31" s="14" t="str">
        <f t="shared" si="9"/>
        <v>⚠️ [이염 주의] 폴리 원단-부자재(팁/라벨): 승화 이염 및 표면 오염 확인</v>
      </c>
    </row>
    <row r="32" spans="1:24" ht="114.75" customHeight="1">
      <c r="A32" s="91" t="s">
        <v>484</v>
      </c>
      <c r="B32" s="91" t="s">
        <v>861</v>
      </c>
      <c r="C32" s="91" t="s">
        <v>455</v>
      </c>
      <c r="D32" s="91" t="s">
        <v>928</v>
      </c>
      <c r="E32" s="91" t="s">
        <v>1125</v>
      </c>
      <c r="F32" s="14" t="s">
        <v>161</v>
      </c>
      <c r="G32" s="18" t="s">
        <v>1126</v>
      </c>
      <c r="H32" s="100" t="s">
        <v>156</v>
      </c>
      <c r="I32" s="110" t="s">
        <v>23</v>
      </c>
      <c r="J32" s="100">
        <v>102</v>
      </c>
      <c r="K32" s="91" t="s">
        <v>808</v>
      </c>
      <c r="L32" s="91" t="s">
        <v>1130</v>
      </c>
      <c r="M32" s="109" t="s">
        <v>36</v>
      </c>
      <c r="N32" s="91" t="s">
        <v>1124</v>
      </c>
      <c r="O32" s="91" t="str">
        <f t="shared" si="2"/>
        <v>W</v>
      </c>
      <c r="P32" s="26" t="str">
        <f t="shared" si="3"/>
        <v>P</v>
      </c>
      <c r="Q32" s="26" t="str">
        <f t="shared" si="4"/>
        <v>ST</v>
      </c>
      <c r="R32" s="26" t="str">
        <f t="shared" si="5"/>
        <v>Lv 1</v>
      </c>
      <c r="S32" s="26" t="str">
        <f t="shared" si="6"/>
        <v>Lv 2</v>
      </c>
      <c r="T32" s="84" t="str">
        <f t="shared" si="7"/>
        <v>W-P-ST-Lv 1-Lv 2</v>
      </c>
      <c r="U32" s="14" t="str">
        <f t="shared" si="0"/>
        <v>TRM</v>
      </c>
      <c r="V32" s="14" t="str">
        <f t="shared" si="1"/>
        <v>TAP</v>
      </c>
      <c r="W32" s="138" t="str">
        <f t="shared" si="8"/>
        <v>TRM-TAP</v>
      </c>
      <c r="X32" s="14" t="str">
        <f t="shared" si="9"/>
        <v>⚠️ [축률 주의] 우븐-테이프/파이핑: 축률 편차에 의한 봉제선 꼬임 및 퍼커링 확인</v>
      </c>
    </row>
    <row r="33" spans="1:24" ht="114.75" customHeight="1">
      <c r="A33" s="91" t="s">
        <v>484</v>
      </c>
      <c r="B33" s="91" t="s">
        <v>861</v>
      </c>
      <c r="C33" s="91" t="s">
        <v>455</v>
      </c>
      <c r="D33" s="91" t="s">
        <v>928</v>
      </c>
      <c r="E33" s="91" t="s">
        <v>1131</v>
      </c>
      <c r="F33" s="14" t="s">
        <v>52</v>
      </c>
      <c r="G33" s="18" t="s">
        <v>53</v>
      </c>
      <c r="H33" s="14" t="s">
        <v>54</v>
      </c>
      <c r="I33" s="14" t="s">
        <v>1132</v>
      </c>
      <c r="J33" s="14">
        <v>120</v>
      </c>
      <c r="K33" s="91" t="s">
        <v>487</v>
      </c>
      <c r="L33" s="91" t="s">
        <v>1133</v>
      </c>
      <c r="M33" s="109" t="s">
        <v>36</v>
      </c>
      <c r="N33" s="91" t="s">
        <v>1134</v>
      </c>
      <c r="O33" s="91" t="str">
        <f t="shared" si="2"/>
        <v>W</v>
      </c>
      <c r="P33" s="26" t="str">
        <f t="shared" si="3"/>
        <v>NX</v>
      </c>
      <c r="Q33" s="26" t="str">
        <f t="shared" si="4"/>
        <v>FN</v>
      </c>
      <c r="R33" s="26" t="str">
        <f t="shared" si="5"/>
        <v>Lv 3</v>
      </c>
      <c r="S33" s="26" t="str">
        <f t="shared" si="6"/>
        <v>Lv 2</v>
      </c>
      <c r="T33" s="84" t="str">
        <f t="shared" si="7"/>
        <v>W-NX-FN-Lv 3-Lv 2</v>
      </c>
      <c r="U33" s="14" t="str">
        <f t="shared" si="0"/>
        <v>TRM</v>
      </c>
      <c r="V33" s="14" t="str">
        <f t="shared" si="1"/>
        <v>PIP</v>
      </c>
      <c r="W33" s="138" t="str">
        <f t="shared" si="8"/>
        <v>TRM-PIP</v>
      </c>
      <c r="X33" s="14" t="str">
        <f t="shared" si="9"/>
        <v>⚠️ [축률 주의] 우븐-테이프/파이핑: 축률 편차에 의한 봉제선 꼬임 및 퍼커링 확인</v>
      </c>
    </row>
    <row r="34" spans="1:24">
      <c r="A34" s="92"/>
      <c r="B34" s="92"/>
      <c r="C34" s="92"/>
      <c r="D34" s="92"/>
      <c r="E34" s="92"/>
      <c r="F34" s="97"/>
      <c r="G34" s="97"/>
      <c r="H34" s="97"/>
      <c r="I34" s="97"/>
      <c r="J34" s="97"/>
      <c r="K34" s="92"/>
      <c r="L34" s="92"/>
      <c r="M34" s="92"/>
      <c r="X34" s="72"/>
    </row>
    <row r="35" spans="1:24">
      <c r="A35" s="92"/>
      <c r="B35" s="92"/>
      <c r="C35" s="92"/>
      <c r="D35" s="92"/>
      <c r="E35" s="92"/>
      <c r="F35" s="97"/>
      <c r="G35" s="97"/>
      <c r="H35" s="97"/>
      <c r="I35" s="97"/>
      <c r="J35" s="97"/>
      <c r="K35" s="92"/>
      <c r="L35" s="92"/>
      <c r="M35" s="92"/>
    </row>
    <row r="36" spans="1:24">
      <c r="A36" s="92"/>
      <c r="B36" s="92"/>
      <c r="C36" s="92"/>
      <c r="D36" s="92"/>
      <c r="E36" s="92"/>
      <c r="F36" s="97"/>
      <c r="G36" s="97"/>
      <c r="H36" s="97"/>
      <c r="I36" s="97"/>
      <c r="J36" s="97"/>
      <c r="K36" s="92"/>
      <c r="L36" s="92"/>
      <c r="M36" s="92"/>
    </row>
    <row r="37" spans="1:24">
      <c r="A37" s="92"/>
      <c r="B37" s="92"/>
      <c r="C37" s="92"/>
      <c r="D37" s="92"/>
      <c r="E37" s="92"/>
      <c r="F37" s="97"/>
      <c r="G37" s="97"/>
      <c r="H37" s="97"/>
      <c r="I37" s="97"/>
      <c r="J37" s="97"/>
      <c r="K37" s="92"/>
      <c r="L37" s="92"/>
      <c r="M37" s="92"/>
    </row>
    <row r="38" spans="1:24">
      <c r="A38" s="92"/>
      <c r="B38" s="92"/>
      <c r="C38" s="92"/>
      <c r="D38" s="92"/>
      <c r="E38" s="92"/>
      <c r="F38" s="97"/>
      <c r="G38" s="97"/>
      <c r="H38" s="97"/>
      <c r="I38" s="97"/>
      <c r="J38" s="97"/>
      <c r="K38" s="92"/>
      <c r="L38" s="92"/>
      <c r="M38" s="92"/>
    </row>
    <row r="39" spans="1:24">
      <c r="A39" s="92"/>
      <c r="B39" s="92"/>
      <c r="C39" s="92"/>
      <c r="D39" s="92"/>
      <c r="E39" s="92"/>
      <c r="F39" s="97"/>
      <c r="G39" s="97"/>
      <c r="H39" s="97"/>
      <c r="I39" s="97"/>
      <c r="J39" s="97"/>
      <c r="K39" s="92"/>
      <c r="L39" s="92"/>
      <c r="M39" s="92"/>
    </row>
  </sheetData>
  <autoFilter ref="A1:N25" xr:uid="{67E285BA-AA72-4B1F-8B6F-AE7B244EF8AF}"/>
  <mergeCells count="13">
    <mergeCell ref="J23:J24"/>
    <mergeCell ref="L23:L24"/>
    <mergeCell ref="M23:M24"/>
    <mergeCell ref="N23:N24"/>
    <mergeCell ref="F23:F24"/>
    <mergeCell ref="G23:G24"/>
    <mergeCell ref="H23:H24"/>
    <mergeCell ref="I23:I24"/>
    <mergeCell ref="A23:A24"/>
    <mergeCell ref="B23:B24"/>
    <mergeCell ref="C23:C24"/>
    <mergeCell ref="D23:D24"/>
    <mergeCell ref="E23:E24"/>
  </mergeCells>
  <phoneticPr fontId="1" type="noConversion"/>
  <conditionalFormatting sqref="X1:X1048576">
    <cfRule type="containsText" dxfId="3" priority="1" operator="containsText" text="⚠️">
      <formula>NOT(ISERROR(SEARCH("⚠️",X1)))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2FFAD-A0E7-46EB-9AAA-A35CB3AD7EC7}">
  <dimension ref="A1:X67"/>
  <sheetViews>
    <sheetView topLeftCell="J1" zoomScale="40" zoomScaleNormal="40" workbookViewId="0">
      <pane ySplit="1" topLeftCell="A2" activePane="bottomLeft" state="frozen"/>
      <selection pane="bottomLeft" activeCell="N4" sqref="N4"/>
    </sheetView>
  </sheetViews>
  <sheetFormatPr defaultColWidth="9" defaultRowHeight="25.2"/>
  <cols>
    <col min="1" max="3" width="21.19921875" style="3" customWidth="1"/>
    <col min="4" max="4" width="25.19921875" style="3" customWidth="1"/>
    <col min="5" max="5" width="22.3984375" style="3" customWidth="1"/>
    <col min="6" max="6" width="46.5" style="4" customWidth="1"/>
    <col min="7" max="7" width="38.69921875" style="4" customWidth="1"/>
    <col min="8" max="8" width="61.09765625" style="4" customWidth="1"/>
    <col min="9" max="9" width="47.19921875" style="4" customWidth="1"/>
    <col min="10" max="10" width="14.3984375" style="4" customWidth="1"/>
    <col min="11" max="11" width="50" style="3" customWidth="1"/>
    <col min="12" max="12" width="58.8984375" style="3" customWidth="1"/>
    <col min="13" max="13" width="32.09765625" style="3" customWidth="1"/>
    <col min="14" max="14" width="45.59765625" style="3" customWidth="1"/>
    <col min="15" max="15" width="13.59765625" style="34" customWidth="1"/>
    <col min="16" max="16" width="13.09765625" style="34" customWidth="1"/>
    <col min="17" max="17" width="13.09765625" style="73" customWidth="1"/>
    <col min="18" max="19" width="13.09765625" style="34" customWidth="1"/>
    <col min="20" max="20" width="33.09765625" style="34" bestFit="1" customWidth="1"/>
    <col min="21" max="21" width="15.796875" style="3" customWidth="1"/>
    <col min="22" max="22" width="16.796875" style="3" customWidth="1"/>
    <col min="23" max="23" width="22.8984375" style="3" bestFit="1" customWidth="1"/>
    <col min="24" max="24" width="107" style="3" customWidth="1"/>
    <col min="25" max="16384" width="9" style="3"/>
  </cols>
  <sheetData>
    <row r="1" spans="1:24" s="4" customFormat="1" ht="62.25" customHeight="1">
      <c r="A1" s="90" t="s">
        <v>841</v>
      </c>
      <c r="B1" s="90" t="s">
        <v>1135</v>
      </c>
      <c r="C1" s="90" t="s">
        <v>843</v>
      </c>
      <c r="D1" s="90" t="s">
        <v>844</v>
      </c>
      <c r="E1" s="90" t="s">
        <v>3</v>
      </c>
      <c r="F1" s="90" t="s">
        <v>845</v>
      </c>
      <c r="G1" s="90" t="s">
        <v>410</v>
      </c>
      <c r="H1" s="90" t="s">
        <v>411</v>
      </c>
      <c r="I1" s="90" t="s">
        <v>846</v>
      </c>
      <c r="J1" s="95" t="s">
        <v>412</v>
      </c>
      <c r="K1" s="90" t="s">
        <v>1136</v>
      </c>
      <c r="L1" s="96" t="s">
        <v>848</v>
      </c>
      <c r="M1" s="90" t="s">
        <v>840</v>
      </c>
      <c r="N1" s="90" t="s">
        <v>849</v>
      </c>
      <c r="O1" s="86" t="s">
        <v>1391</v>
      </c>
      <c r="P1" s="86" t="s">
        <v>6</v>
      </c>
      <c r="Q1" s="86" t="s">
        <v>7</v>
      </c>
      <c r="R1" s="86" t="s">
        <v>8</v>
      </c>
      <c r="S1" s="87" t="s">
        <v>9</v>
      </c>
      <c r="T1" s="83" t="s">
        <v>12</v>
      </c>
      <c r="U1" s="83" t="s">
        <v>1297</v>
      </c>
      <c r="V1" s="83" t="s">
        <v>1298</v>
      </c>
      <c r="W1" s="83" t="s">
        <v>1299</v>
      </c>
      <c r="X1" s="83" t="s">
        <v>14</v>
      </c>
    </row>
    <row r="2" spans="1:24" s="4" customFormat="1" ht="73.5" customHeight="1">
      <c r="A2" s="91" t="s">
        <v>850</v>
      </c>
      <c r="B2" s="91" t="s">
        <v>861</v>
      </c>
      <c r="C2" s="91" t="s">
        <v>453</v>
      </c>
      <c r="D2" s="91" t="s">
        <v>916</v>
      </c>
      <c r="E2" s="91" t="s">
        <v>917</v>
      </c>
      <c r="F2" s="91" t="s">
        <v>173</v>
      </c>
      <c r="G2" s="91" t="s">
        <v>513</v>
      </c>
      <c r="H2" s="91" t="s">
        <v>70</v>
      </c>
      <c r="I2" s="91" t="s">
        <v>514</v>
      </c>
      <c r="J2" s="91">
        <v>158</v>
      </c>
      <c r="K2" s="91" t="s">
        <v>156</v>
      </c>
      <c r="L2" s="91" t="s">
        <v>1137</v>
      </c>
      <c r="M2" s="91" t="s">
        <v>36</v>
      </c>
      <c r="N2" s="91" t="s">
        <v>1138</v>
      </c>
      <c r="O2" s="91" t="str">
        <f>_xlfn.IFS(B2="다이마루","K",B2="우븐","W",B2="스웨터","S",B2="데님","D")</f>
        <v>W</v>
      </c>
      <c r="P2" s="26" t="str">
        <f t="shared" ref="P2:P15" si="0">IF(H2="", "",
 IF(AND(ISNUMBER(SEARCH("Cotton", H2)), OR(ISNUMBER(SEARCH("Sorona", H2)), ISNUMBER(SEARCH("Polyester(Sorona)", H2)))), "CS",
  IF(AND(ISNUMBER(SEARCH("Nylon", H2)), OR(ISNUMBER(SEARCH("Span", H2)), ISNUMBER(SEARCH("Polyurethane", H2)), ISNUMBER(SEARCH("Elastane", H2)))), "NX",
   IF(AND(ISNUMBER(SEARCH("Nylon", H2)), NOT(OR(ISNUMBER(SEARCH("Cotton", H2)), ISNUMBER(SEARCH("Polyester", H2)), ISNUMBER(SEARCH("Rayon", H2)), ISNUMBER(SEARCH("Modal", H2)), ISNUMBER(SEARCH("Viscose", H2))))), "N",
    IF(AND(ISNUMBER(SEARCH("Cotton", H2)), NOT(OR(ISNUMBER(SEARCH("Polyester", H2)), ISNUMBER(SEARCH("Nylon", H2)), ISNUMBER(SEARCH("Rayon", H2)), ISNUMBER(SEARCH("Modal", H2)), ISNUMBER(SEARCH("Viscose", H2)), ISNUMBER(SEARCH("Polyurethane", H2)), ISNUMBER(SEARCH("Span", H2))))), "C",
     IF(ISNUMBER(SEARCH("Cotton", H2)), "CX",
      IF(AND(ISNUMBER(SEARCH("Polyester", H2)), NOT(OR(ISNUMBER(SEARCH("Cotton", H2)), ISNUMBER(SEARCH("Nylon", H2)), ISNUMBER(SEARCH("Wool", H2)), ISNUMBER(SEARCH("Rayon", H2))))), "P",
       "S")))))))</f>
        <v>N</v>
      </c>
      <c r="Q2" s="26" t="str">
        <f t="shared" ref="Q2:Q15" si="1">IF(OR(I2="", I2="X", I2="None"), "ST",
 IF(OR(ISNUMBER(SEARCH("Layer", I2)), ISNUMBER(SEARCH("Lamination", I2)), ISNUMBER(SEARCH("TPU", I2)), ISNUMBER(SEARCH("PU", I2))), "WP",
  IF(OR(ISNUMBER(SEARCH("WR", I2)), ISNUMBER(SEARCH("DWR", I2)), ISNUMBER(SEARCH("Cire", I2)), ISNUMBER(SEARCH("Coating", I2)), ISNUMBER(SEARCH("Print", I2))), "WR",
   IF(OR(ISNUMBER(SEARCH("Bio", I2)), ISNUMBER(SEARCH("Enzyme", I2)), ISNUMBER(SEARCH("Peach", I2)), ISNUMBER(SEARCH("Brush", I2)), ISNUMBER(SEARCH("Tumble", I2)), ISNUMBER(SEARCH("Airo", I2))), "AF",
    IF(OR(ISNUMBER(SEARCH("UV", I2)), ISNUMBER(SEARCH("Dry", I2)), ISNUMBER(SEARCH("Wick", I2)), ISNUMBER(SEARCH("Hydrolysis", I2))), "FN",
     "ST")))))</f>
        <v>WR</v>
      </c>
      <c r="R2" s="26" t="str">
        <f t="shared" ref="R2:R15" si="2">IF(H2="", "",
 IF(OR(ISNUMBER(SEARCH("Span",H2)), ISNUMBER(SEARCH("Polyurethane",H2)), ISNUMBER(SEARCH("PU",H2))),
    IF(IFERROR(VALUE(LEFT(SUBSTITUTE(MID(H2,SEARCH("%",H2)-3,3),",",""),2)),0)&gt;=12, "Lv 5",
    IF(IFERROR(VALUE(LEFT(SUBSTITUTE(MID(H2,SEARCH("%",H2)-3,3),",",""),2)),0)&gt;=6, "Lv 4", "Lv 3")),
    IF(OR(ISNUMBER(SEARCH("Sorona",H2)), ISNUMBER(SEARCH("T400",H2)), ISNUMBER(SEARCH("Knit",H2))), "Lv 2", "Lv 1")
 ))</f>
        <v>Lv 1</v>
      </c>
      <c r="S2" s="26" t="str">
        <f t="shared" ref="S2:S15" si="3">IF(OR(J2="", J2=0), "",
 IF(J2&lt;=80, "Lv 1",
  IF(J2&lt;=160, "Lv 2",
   IF(J2&lt;=260, "Lv 3",
    IF(J2&lt;=360, "Lv 4",
     "Lv 5")))))</f>
        <v>Lv 2</v>
      </c>
      <c r="T2" s="84" t="str">
        <f>IF(M2="O", _xlfn.TEXTJOIN("-", TRUE, O2:S2), "")</f>
        <v>W-N-WR-Lv 1-Lv 2</v>
      </c>
      <c r="U2" s="5" t="str">
        <f t="shared" ref="U2:U15" si="4">IF(N2="", "",
 IF(OR(ISNUMBER(SEARCH("카라", N2)), ISNUMBER(SEARCH("에리", N2))), "COL",
  IF(ISNUMBER(SEARCH("패널", N2)), "PNL",
   IF(ISNUMBER(SEARCH("소매", N2)), "SLV",
    IF(OR(ISNUMBER(SEARCH("넥", N2)), ISNUMBER(SEARCH("요꼬", N2))), "NK",
     IF(OR(ISNUMBER(SEARCH("주머니", N2)), ISNUMBER(SEARCH("포켓", N2))), "PKT", "ETC"))))))</f>
        <v>PNL</v>
      </c>
      <c r="V2" s="5" t="str">
        <f t="shared" ref="V2:V15" si="5">IF(N2="", "",
 IF(OR(ISNUMBER(SEARCH("PU", K2)), ISNUMBER(SEARCH("Leather", K2)), ISNUMBER(SEARCH("VEGAN", K2))), "LEATHER",
  IF(OR(ISNUMBER(SEARCH("GG", K2)), ISNUMBER(SEARCH("2X1", K2)), ISNUMBER(SEARCH("딩하오", K2))), "RIB",
   IF(ISNUMBER(SEARCH("Polyester", K2)), "POLY",
    IF(ISNUMBER(SEARCH("Cotton", K2)), "COTTON",
     IF(ISNUMBER(SEARCH("Nylon", K2)), "NYLON",
      IF(OR(ISNUMBER(SEARCH("몸판X", K2)), ISNUMBER(SEARCH("정보없음", K2))), "NONE", "ETC")))))))</f>
        <v>POLY</v>
      </c>
      <c r="W2" s="138" t="str">
        <f>IF(M2="O", _xlfn.TEXTJOIN("-", TRUE, U2:V2), "")</f>
        <v>PNL-POLY</v>
      </c>
      <c r="X2" s="5" t="str">
        <f>IF(OR(T2="", W2=""), "",IF(OR(T2="", W2="", M2="X", M2=""), "✅ 정상",
IF(AND(ISNUMBER(SEARCH("D", T2)), OR(ISNUMBER(SEARCH("LEATHER", W2)), ISNUMBER(SEARCH("ETC", W2)))), "⚠️ [카라 고위험] 데님-레더/우레탄: 워싱 시 극심한 축률 차이 및 표면 손상 주의",
IF(AND(OR(ISNUMBER(SEARCH("W", T2)), ISNUMBER(SEARCH("C", T2))), OR(ISNUMBER(SEARCH("LEATHER", W2)), ISNUMBER(SEARCH("ETC", W2)))), "⚠️ [물성 상성] 코튼/우븐-레더(ETC): 카라 안착 불량 및 들뜸 위험 (패턴/심지 점검)",
IF(AND(OR(ISNUMBER(SEARCH("N", T2)), ISNUMBER(SEARCH("NX", T2))), ISNUMBER(SEARCH("POLY", W2))), "✅ [축률 관리] 이염 방지용 폴리 배색: 몸판과의 수축률 편차 최종 확인",
IF(AND(OR(ISNUMBER(SEARCH("CX", T2)), ISNUMBER(SEARCH("C", T2)), ISNUMBER(SEARCH("D", T2))), ISNUMBER(SEARCH("COTTON", W2))), "⚠️ [강도 불일치] 코튼계열-면카라: 형태 유지력 및 꺾임선 점검",
IF(AND(T2="K", ISNUMBER(SEARCH("RIB", W2))), "⚠️ [신축 주의] 니트-요꼬: 고신축성 자재 간의 당김 및 형태 왜곡 주의",
IF(AND(ISNUMBER(SEARCH("Lv 1", T2)), OR(ISNUMBER(SEARCH("LEATHER", W2)), ISNUMBER(SEARCH("ETC", W2)), ISNUMBER(SEARCH("RIB", W2)))), "⚠️ [중량 격차] 초경량 몸판 대비 배색 무거움: 연결부 미어짐 위험",
"✅ 정상"))))))))</f>
        <v>✅ [축률 관리] 이염 방지용 폴리 배색: 몸판과의 수축률 편차 최종 확인</v>
      </c>
    </row>
    <row r="3" spans="1:24" s="4" customFormat="1" ht="72.75" customHeight="1">
      <c r="A3" s="91" t="s">
        <v>135</v>
      </c>
      <c r="B3" s="91" t="s">
        <v>851</v>
      </c>
      <c r="C3" s="91" t="s">
        <v>479</v>
      </c>
      <c r="D3" s="91" t="s">
        <v>868</v>
      </c>
      <c r="E3" s="91" t="s">
        <v>1086</v>
      </c>
      <c r="F3" s="21" t="s">
        <v>161</v>
      </c>
      <c r="G3" s="91" t="s">
        <v>162</v>
      </c>
      <c r="H3" s="21" t="s">
        <v>163</v>
      </c>
      <c r="I3" s="91" t="s">
        <v>164</v>
      </c>
      <c r="J3" s="91">
        <v>155</v>
      </c>
      <c r="K3" s="91" t="s">
        <v>156</v>
      </c>
      <c r="L3" s="91" t="s">
        <v>1137</v>
      </c>
      <c r="M3" s="21" t="s">
        <v>23</v>
      </c>
      <c r="N3" s="91"/>
      <c r="O3" s="91" t="str">
        <f t="shared" ref="O3:O15" si="6">_xlfn.IFS(B3="다이마루","K",B3="우븐","W",B3="스웨터","S",B3="데님","D")</f>
        <v>K</v>
      </c>
      <c r="P3" s="26" t="str">
        <f t="shared" si="0"/>
        <v>NX</v>
      </c>
      <c r="Q3" s="26" t="str">
        <f t="shared" si="1"/>
        <v>FN</v>
      </c>
      <c r="R3" s="26" t="str">
        <f t="shared" si="2"/>
        <v>Lv 3</v>
      </c>
      <c r="S3" s="26" t="str">
        <f t="shared" si="3"/>
        <v>Lv 2</v>
      </c>
      <c r="T3" s="84" t="str">
        <f t="shared" ref="T3:T15" si="7">IF(M3="O", _xlfn.TEXTJOIN("-", TRUE, O3:S3), "")</f>
        <v/>
      </c>
      <c r="U3" s="5" t="str">
        <f t="shared" si="4"/>
        <v/>
      </c>
      <c r="V3" s="5" t="str">
        <f t="shared" si="5"/>
        <v/>
      </c>
      <c r="W3" s="138" t="str">
        <f t="shared" ref="W3:W15" si="8">IF(M3="O", _xlfn.TEXTJOIN("-", TRUE, U3:V3), "")</f>
        <v/>
      </c>
      <c r="X3" s="5" t="str">
        <f t="shared" ref="X3:X15" si="9">IF(OR(T3="", W3=""), "",IF(OR(T3="", W3="", M3="X", M3=""), "✅ 정상",
IF(AND(ISNUMBER(SEARCH("D", T3)), OR(ISNUMBER(SEARCH("LEATHER", W3)), ISNUMBER(SEARCH("ETC", W3)))), "⚠️ [카라 고위험] 데님-레더/우레탄: 워싱 시 극심한 축률 차이 및 표면 손상 주의",
IF(AND(OR(ISNUMBER(SEARCH("W", T3)), ISNUMBER(SEARCH("C", T3))), OR(ISNUMBER(SEARCH("LEATHER", W3)), ISNUMBER(SEARCH("ETC", W3)))), "⚠️ [물성 상성] 코튼/우븐-레더(ETC): 카라 안착 불량 및 들뜸 위험 (패턴/심지 점검)",
IF(AND(OR(ISNUMBER(SEARCH("N", T3)), ISNUMBER(SEARCH("NX", T3))), ISNUMBER(SEARCH("POLY", W3))), "✅ [축률 관리] 이염 방지용 폴리 배색: 몸판과의 수축률 편차 최종 확인",
IF(AND(OR(ISNUMBER(SEARCH("CX", T3)), ISNUMBER(SEARCH("C", T3)), ISNUMBER(SEARCH("D", T3))), ISNUMBER(SEARCH("COTTON", W3))), "⚠️ [강도 불일치] 코튼계열-면카라: 형태 유지력 및 꺾임선 점검",
IF(AND(T3="K", ISNUMBER(SEARCH("RIB", W3))), "⚠️ [신축 주의] 니트-요꼬: 고신축성 자재 간의 당김 및 형태 왜곡 주의",
IF(AND(ISNUMBER(SEARCH("Lv 1", T3)), OR(ISNUMBER(SEARCH("LEATHER", W3)), ISNUMBER(SEARCH("ETC", W3)), ISNUMBER(SEARCH("RIB", W3)))), "⚠️ [중량 격차] 초경량 몸판 대비 배색 무거움: 연결부 미어짐 위험",
"✅ 정상"))))))))</f>
        <v/>
      </c>
    </row>
    <row r="4" spans="1:24" s="4" customFormat="1" ht="94.5" customHeight="1">
      <c r="A4" s="98" t="s">
        <v>135</v>
      </c>
      <c r="B4" s="98" t="s">
        <v>861</v>
      </c>
      <c r="C4" s="98" t="s">
        <v>443</v>
      </c>
      <c r="D4" s="98" t="s">
        <v>890</v>
      </c>
      <c r="E4" s="98" t="s">
        <v>957</v>
      </c>
      <c r="F4" s="98" t="s">
        <v>161</v>
      </c>
      <c r="G4" s="98" t="s">
        <v>162</v>
      </c>
      <c r="H4" s="99" t="s">
        <v>163</v>
      </c>
      <c r="I4" s="98" t="s">
        <v>164</v>
      </c>
      <c r="J4" s="98">
        <v>155</v>
      </c>
      <c r="K4" s="99" t="s">
        <v>1139</v>
      </c>
      <c r="L4" s="98" t="s">
        <v>1137</v>
      </c>
      <c r="M4" s="99" t="s">
        <v>23</v>
      </c>
      <c r="N4" s="98"/>
      <c r="O4" s="91" t="str">
        <f t="shared" si="6"/>
        <v>W</v>
      </c>
      <c r="P4" s="26" t="str">
        <f t="shared" si="0"/>
        <v>NX</v>
      </c>
      <c r="Q4" s="26" t="str">
        <f t="shared" si="1"/>
        <v>FN</v>
      </c>
      <c r="R4" s="26" t="str">
        <f t="shared" si="2"/>
        <v>Lv 3</v>
      </c>
      <c r="S4" s="26" t="str">
        <f t="shared" si="3"/>
        <v>Lv 2</v>
      </c>
      <c r="T4" s="84" t="str">
        <f t="shared" si="7"/>
        <v/>
      </c>
      <c r="U4" s="5" t="str">
        <f t="shared" si="4"/>
        <v/>
      </c>
      <c r="V4" s="5" t="str">
        <f t="shared" si="5"/>
        <v/>
      </c>
      <c r="W4" s="138" t="str">
        <f t="shared" si="8"/>
        <v/>
      </c>
      <c r="X4" s="5" t="str">
        <f t="shared" si="9"/>
        <v/>
      </c>
    </row>
    <row r="5" spans="1:24" s="4" customFormat="1" ht="84" customHeight="1">
      <c r="A5" s="98" t="s">
        <v>135</v>
      </c>
      <c r="B5" s="98" t="s">
        <v>861</v>
      </c>
      <c r="C5" s="98" t="s">
        <v>443</v>
      </c>
      <c r="D5" s="98" t="s">
        <v>890</v>
      </c>
      <c r="E5" s="98" t="s">
        <v>957</v>
      </c>
      <c r="F5" s="98" t="s">
        <v>161</v>
      </c>
      <c r="G5" s="98" t="s">
        <v>162</v>
      </c>
      <c r="H5" s="99" t="s">
        <v>163</v>
      </c>
      <c r="I5" s="98" t="s">
        <v>164</v>
      </c>
      <c r="J5" s="98">
        <v>155</v>
      </c>
      <c r="K5" s="99" t="s">
        <v>1139</v>
      </c>
      <c r="L5" s="98" t="s">
        <v>1137</v>
      </c>
      <c r="M5" s="99" t="s">
        <v>23</v>
      </c>
      <c r="N5" s="98"/>
      <c r="O5" s="91" t="str">
        <f t="shared" si="6"/>
        <v>W</v>
      </c>
      <c r="P5" s="26" t="str">
        <f t="shared" si="0"/>
        <v>NX</v>
      </c>
      <c r="Q5" s="26" t="str">
        <f t="shared" si="1"/>
        <v>FN</v>
      </c>
      <c r="R5" s="26" t="str">
        <f t="shared" si="2"/>
        <v>Lv 3</v>
      </c>
      <c r="S5" s="26" t="str">
        <f t="shared" si="3"/>
        <v>Lv 2</v>
      </c>
      <c r="T5" s="84" t="str">
        <f t="shared" si="7"/>
        <v/>
      </c>
      <c r="U5" s="5" t="str">
        <f t="shared" si="4"/>
        <v/>
      </c>
      <c r="V5" s="5" t="str">
        <f t="shared" si="5"/>
        <v/>
      </c>
      <c r="W5" s="138" t="str">
        <f t="shared" si="8"/>
        <v/>
      </c>
      <c r="X5" s="5" t="str">
        <f t="shared" si="9"/>
        <v/>
      </c>
    </row>
    <row r="6" spans="1:24" s="4" customFormat="1" ht="84" customHeight="1">
      <c r="A6" s="91" t="s">
        <v>135</v>
      </c>
      <c r="B6" s="91" t="s">
        <v>861</v>
      </c>
      <c r="C6" s="91" t="s">
        <v>448</v>
      </c>
      <c r="D6" s="91" t="s">
        <v>224</v>
      </c>
      <c r="E6" s="91" t="s">
        <v>1141</v>
      </c>
      <c r="F6" s="21" t="s">
        <v>68</v>
      </c>
      <c r="G6" s="91" t="s">
        <v>226</v>
      </c>
      <c r="H6" s="91" t="s">
        <v>227</v>
      </c>
      <c r="I6" s="91" t="s">
        <v>46</v>
      </c>
      <c r="J6" s="91">
        <v>345</v>
      </c>
      <c r="K6" s="21" t="s">
        <v>273</v>
      </c>
      <c r="L6" s="21" t="s">
        <v>417</v>
      </c>
      <c r="M6" s="21" t="s">
        <v>36</v>
      </c>
      <c r="N6" s="91" t="s">
        <v>1142</v>
      </c>
      <c r="O6" s="91" t="str">
        <f t="shared" si="6"/>
        <v>W</v>
      </c>
      <c r="P6" s="26" t="str">
        <f t="shared" si="0"/>
        <v>CX</v>
      </c>
      <c r="Q6" s="26" t="str">
        <f t="shared" si="1"/>
        <v>ST</v>
      </c>
      <c r="R6" s="26" t="str">
        <f t="shared" si="2"/>
        <v>Lv 3</v>
      </c>
      <c r="S6" s="26" t="str">
        <f t="shared" si="3"/>
        <v>Lv 4</v>
      </c>
      <c r="T6" s="84" t="str">
        <f t="shared" si="7"/>
        <v>W-CX-ST-Lv 3-Lv 4</v>
      </c>
      <c r="U6" s="5" t="str">
        <f t="shared" si="4"/>
        <v>COL</v>
      </c>
      <c r="V6" s="5" t="str">
        <f t="shared" si="5"/>
        <v>ETC</v>
      </c>
      <c r="W6" s="138" t="str">
        <f t="shared" si="8"/>
        <v>COL-ETC</v>
      </c>
      <c r="X6" s="5" t="str">
        <f t="shared" si="9"/>
        <v>⚠️ [물성 상성] 코튼/우븐-레더(ETC): 카라 안착 불량 및 들뜸 위험 (패턴/심지 점검)</v>
      </c>
    </row>
    <row r="7" spans="1:24" s="4" customFormat="1" ht="84" customHeight="1">
      <c r="A7" s="91" t="s">
        <v>135</v>
      </c>
      <c r="B7" s="91" t="s">
        <v>861</v>
      </c>
      <c r="C7" s="91" t="s">
        <v>448</v>
      </c>
      <c r="D7" s="91" t="s">
        <v>224</v>
      </c>
      <c r="E7" s="91" t="s">
        <v>968</v>
      </c>
      <c r="F7" s="21" t="s">
        <v>68</v>
      </c>
      <c r="G7" s="91" t="s">
        <v>226</v>
      </c>
      <c r="H7" s="21" t="s">
        <v>227</v>
      </c>
      <c r="I7" s="91" t="s">
        <v>46</v>
      </c>
      <c r="J7" s="91">
        <v>345</v>
      </c>
      <c r="K7" s="21" t="s">
        <v>98</v>
      </c>
      <c r="L7" s="21" t="s">
        <v>417</v>
      </c>
      <c r="M7" s="21" t="s">
        <v>36</v>
      </c>
      <c r="N7" s="91" t="s">
        <v>1142</v>
      </c>
      <c r="O7" s="91" t="str">
        <f t="shared" si="6"/>
        <v>W</v>
      </c>
      <c r="P7" s="26" t="str">
        <f t="shared" si="0"/>
        <v>CX</v>
      </c>
      <c r="Q7" s="26" t="str">
        <f t="shared" si="1"/>
        <v>ST</v>
      </c>
      <c r="R7" s="26" t="str">
        <f t="shared" si="2"/>
        <v>Lv 3</v>
      </c>
      <c r="S7" s="26" t="str">
        <f t="shared" si="3"/>
        <v>Lv 4</v>
      </c>
      <c r="T7" s="84" t="str">
        <f t="shared" si="7"/>
        <v>W-CX-ST-Lv 3-Lv 4</v>
      </c>
      <c r="U7" s="5" t="str">
        <f t="shared" si="4"/>
        <v>COL</v>
      </c>
      <c r="V7" s="5" t="str">
        <f t="shared" si="5"/>
        <v>COTTON</v>
      </c>
      <c r="W7" s="138" t="str">
        <f t="shared" si="8"/>
        <v>COL-COTTON</v>
      </c>
      <c r="X7" s="5" t="str">
        <f t="shared" si="9"/>
        <v>⚠️ [강도 불일치] 코튼계열-면카라: 형태 유지력 및 꺾임선 점검</v>
      </c>
    </row>
    <row r="8" spans="1:24" s="4" customFormat="1" ht="84" customHeight="1">
      <c r="A8" s="91" t="s">
        <v>135</v>
      </c>
      <c r="B8" s="91" t="s">
        <v>861</v>
      </c>
      <c r="C8" s="91" t="s">
        <v>448</v>
      </c>
      <c r="D8" s="91" t="s">
        <v>224</v>
      </c>
      <c r="E8" s="91" t="s">
        <v>225</v>
      </c>
      <c r="F8" s="21" t="s">
        <v>68</v>
      </c>
      <c r="G8" s="91" t="s">
        <v>226</v>
      </c>
      <c r="H8" s="21" t="s">
        <v>227</v>
      </c>
      <c r="I8" s="91" t="s">
        <v>46</v>
      </c>
      <c r="J8" s="91">
        <v>345</v>
      </c>
      <c r="K8" s="21" t="s">
        <v>273</v>
      </c>
      <c r="L8" s="21" t="s">
        <v>417</v>
      </c>
      <c r="M8" s="21" t="s">
        <v>36</v>
      </c>
      <c r="N8" s="91" t="s">
        <v>1142</v>
      </c>
      <c r="O8" s="91" t="str">
        <f t="shared" si="6"/>
        <v>W</v>
      </c>
      <c r="P8" s="26" t="str">
        <f t="shared" si="0"/>
        <v>CX</v>
      </c>
      <c r="Q8" s="26" t="str">
        <f t="shared" si="1"/>
        <v>ST</v>
      </c>
      <c r="R8" s="26" t="str">
        <f t="shared" si="2"/>
        <v>Lv 3</v>
      </c>
      <c r="S8" s="26" t="str">
        <f t="shared" si="3"/>
        <v>Lv 4</v>
      </c>
      <c r="T8" s="84" t="str">
        <f t="shared" si="7"/>
        <v>W-CX-ST-Lv 3-Lv 4</v>
      </c>
      <c r="U8" s="5" t="str">
        <f t="shared" si="4"/>
        <v>COL</v>
      </c>
      <c r="V8" s="5" t="str">
        <f t="shared" si="5"/>
        <v>ETC</v>
      </c>
      <c r="W8" s="138" t="str">
        <f t="shared" si="8"/>
        <v>COL-ETC</v>
      </c>
      <c r="X8" s="5" t="str">
        <f t="shared" si="9"/>
        <v>⚠️ [물성 상성] 코튼/우븐-레더(ETC): 카라 안착 불량 및 들뜸 위험 (패턴/심지 점검)</v>
      </c>
    </row>
    <row r="9" spans="1:24" s="4" customFormat="1" ht="84" customHeight="1">
      <c r="A9" s="91" t="s">
        <v>135</v>
      </c>
      <c r="B9" s="91" t="s">
        <v>861</v>
      </c>
      <c r="C9" s="91" t="s">
        <v>453</v>
      </c>
      <c r="D9" s="91" t="s">
        <v>916</v>
      </c>
      <c r="E9" s="91" t="s">
        <v>252</v>
      </c>
      <c r="F9" s="91" t="s">
        <v>253</v>
      </c>
      <c r="G9" s="91" t="s">
        <v>254</v>
      </c>
      <c r="H9" s="21" t="s">
        <v>156</v>
      </c>
      <c r="I9" s="91" t="s">
        <v>35</v>
      </c>
      <c r="J9" s="91">
        <v>132</v>
      </c>
      <c r="K9" s="21" t="s">
        <v>1143</v>
      </c>
      <c r="L9" s="21" t="s">
        <v>1144</v>
      </c>
      <c r="M9" s="21" t="s">
        <v>23</v>
      </c>
      <c r="N9" s="91"/>
      <c r="O9" s="91" t="str">
        <f t="shared" si="6"/>
        <v>W</v>
      </c>
      <c r="P9" s="26" t="str">
        <f t="shared" si="0"/>
        <v>P</v>
      </c>
      <c r="Q9" s="26" t="str">
        <f t="shared" si="1"/>
        <v>WR</v>
      </c>
      <c r="R9" s="26" t="str">
        <f t="shared" si="2"/>
        <v>Lv 1</v>
      </c>
      <c r="S9" s="26" t="str">
        <f t="shared" si="3"/>
        <v>Lv 2</v>
      </c>
      <c r="T9" s="84" t="str">
        <f t="shared" si="7"/>
        <v/>
      </c>
      <c r="U9" s="5" t="str">
        <f t="shared" si="4"/>
        <v/>
      </c>
      <c r="V9" s="5" t="str">
        <f t="shared" si="5"/>
        <v/>
      </c>
      <c r="W9" s="138" t="str">
        <f t="shared" si="8"/>
        <v/>
      </c>
      <c r="X9" s="5" t="str">
        <f t="shared" si="9"/>
        <v/>
      </c>
    </row>
    <row r="10" spans="1:24" s="4" customFormat="1" ht="84" customHeight="1">
      <c r="A10" s="91" t="s">
        <v>135</v>
      </c>
      <c r="B10" s="91" t="s">
        <v>861</v>
      </c>
      <c r="C10" s="91" t="s">
        <v>460</v>
      </c>
      <c r="D10" s="91" t="s">
        <v>931</v>
      </c>
      <c r="E10" s="91" t="s">
        <v>1145</v>
      </c>
      <c r="F10" s="91" t="s">
        <v>161</v>
      </c>
      <c r="G10" s="91" t="s">
        <v>497</v>
      </c>
      <c r="H10" s="91" t="s">
        <v>70</v>
      </c>
      <c r="I10" s="91" t="s">
        <v>169</v>
      </c>
      <c r="J10" s="91">
        <v>135</v>
      </c>
      <c r="K10" s="21" t="s">
        <v>1146</v>
      </c>
      <c r="L10" s="21" t="s">
        <v>1147</v>
      </c>
      <c r="M10" s="21" t="s">
        <v>23</v>
      </c>
      <c r="N10" s="91"/>
      <c r="O10" s="91" t="str">
        <f t="shared" si="6"/>
        <v>W</v>
      </c>
      <c r="P10" s="26" t="str">
        <f t="shared" si="0"/>
        <v>N</v>
      </c>
      <c r="Q10" s="26" t="str">
        <f t="shared" si="1"/>
        <v>WR</v>
      </c>
      <c r="R10" s="26" t="str">
        <f t="shared" si="2"/>
        <v>Lv 1</v>
      </c>
      <c r="S10" s="26" t="str">
        <f t="shared" si="3"/>
        <v>Lv 2</v>
      </c>
      <c r="T10" s="84" t="str">
        <f t="shared" si="7"/>
        <v/>
      </c>
      <c r="U10" s="5" t="str">
        <f t="shared" si="4"/>
        <v/>
      </c>
      <c r="V10" s="5" t="str">
        <f t="shared" si="5"/>
        <v/>
      </c>
      <c r="W10" s="138" t="str">
        <f t="shared" si="8"/>
        <v/>
      </c>
      <c r="X10" s="5" t="str">
        <f t="shared" si="9"/>
        <v/>
      </c>
    </row>
    <row r="11" spans="1:24" s="4" customFormat="1" ht="84" customHeight="1">
      <c r="A11" s="91" t="s">
        <v>135</v>
      </c>
      <c r="B11" s="91" t="s">
        <v>861</v>
      </c>
      <c r="C11" s="91" t="s">
        <v>460</v>
      </c>
      <c r="D11" s="91" t="s">
        <v>931</v>
      </c>
      <c r="E11" s="91" t="s">
        <v>1148</v>
      </c>
      <c r="F11" s="91" t="s">
        <v>60</v>
      </c>
      <c r="G11" s="91" t="s">
        <v>292</v>
      </c>
      <c r="H11" s="91" t="s">
        <v>70</v>
      </c>
      <c r="I11" s="91" t="s">
        <v>46</v>
      </c>
      <c r="J11" s="91">
        <v>140</v>
      </c>
      <c r="K11" s="21" t="s">
        <v>1149</v>
      </c>
      <c r="L11" s="21" t="s">
        <v>1144</v>
      </c>
      <c r="M11" s="21" t="s">
        <v>23</v>
      </c>
      <c r="N11" s="91"/>
      <c r="O11" s="91" t="str">
        <f t="shared" si="6"/>
        <v>W</v>
      </c>
      <c r="P11" s="26" t="str">
        <f t="shared" si="0"/>
        <v>N</v>
      </c>
      <c r="Q11" s="26" t="str">
        <f t="shared" si="1"/>
        <v>ST</v>
      </c>
      <c r="R11" s="26" t="str">
        <f t="shared" si="2"/>
        <v>Lv 1</v>
      </c>
      <c r="S11" s="26" t="str">
        <f t="shared" si="3"/>
        <v>Lv 2</v>
      </c>
      <c r="T11" s="84" t="str">
        <f t="shared" si="7"/>
        <v/>
      </c>
      <c r="U11" s="5" t="str">
        <f t="shared" si="4"/>
        <v/>
      </c>
      <c r="V11" s="5" t="str">
        <f t="shared" si="5"/>
        <v/>
      </c>
      <c r="W11" s="138" t="str">
        <f t="shared" si="8"/>
        <v/>
      </c>
      <c r="X11" s="5" t="str">
        <f t="shared" si="9"/>
        <v/>
      </c>
    </row>
    <row r="12" spans="1:24" s="4" customFormat="1" ht="84.75" customHeight="1">
      <c r="A12" s="91" t="s">
        <v>135</v>
      </c>
      <c r="B12" s="91" t="s">
        <v>933</v>
      </c>
      <c r="C12" s="91" t="s">
        <v>474</v>
      </c>
      <c r="D12" s="91" t="s">
        <v>474</v>
      </c>
      <c r="E12" s="91" t="s">
        <v>1150</v>
      </c>
      <c r="F12" s="21" t="s">
        <v>515</v>
      </c>
      <c r="G12" s="91"/>
      <c r="H12" s="91" t="s">
        <v>516</v>
      </c>
      <c r="I12" s="91" t="s">
        <v>468</v>
      </c>
      <c r="J12" s="91">
        <v>12.6</v>
      </c>
      <c r="K12" s="21" t="s">
        <v>98</v>
      </c>
      <c r="L12" s="21" t="s">
        <v>417</v>
      </c>
      <c r="M12" s="21" t="s">
        <v>36</v>
      </c>
      <c r="N12" s="91" t="s">
        <v>1142</v>
      </c>
      <c r="O12" s="91" t="str">
        <f t="shared" si="6"/>
        <v>D</v>
      </c>
      <c r="P12" s="26" t="str">
        <f t="shared" si="0"/>
        <v>CX</v>
      </c>
      <c r="Q12" s="26" t="str">
        <f t="shared" si="1"/>
        <v>ST</v>
      </c>
      <c r="R12" s="26" t="str">
        <f t="shared" si="2"/>
        <v>Lv 3</v>
      </c>
      <c r="S12" s="26" t="str">
        <f t="shared" si="3"/>
        <v>Lv 1</v>
      </c>
      <c r="T12" s="84" t="str">
        <f t="shared" si="7"/>
        <v>D-CX-ST-Lv 3-Lv 1</v>
      </c>
      <c r="U12" s="5" t="str">
        <f t="shared" si="4"/>
        <v>COL</v>
      </c>
      <c r="V12" s="5" t="str">
        <f t="shared" si="5"/>
        <v>COTTON</v>
      </c>
      <c r="W12" s="138" t="str">
        <f t="shared" si="8"/>
        <v>COL-COTTON</v>
      </c>
      <c r="X12" s="5" t="str">
        <f t="shared" si="9"/>
        <v>⚠️ [강도 불일치] 코튼계열-면카라: 형태 유지력 및 꺾임선 점검</v>
      </c>
    </row>
    <row r="13" spans="1:24" s="4" customFormat="1" ht="84.75" customHeight="1">
      <c r="A13" s="91" t="s">
        <v>484</v>
      </c>
      <c r="B13" s="91" t="s">
        <v>861</v>
      </c>
      <c r="C13" s="91" t="s">
        <v>448</v>
      </c>
      <c r="D13" s="91" t="s">
        <v>224</v>
      </c>
      <c r="E13" s="91" t="s">
        <v>1151</v>
      </c>
      <c r="F13" s="14" t="s">
        <v>60</v>
      </c>
      <c r="G13" s="18" t="s">
        <v>1152</v>
      </c>
      <c r="H13" s="14" t="s">
        <v>70</v>
      </c>
      <c r="I13" s="18" t="s">
        <v>23</v>
      </c>
      <c r="J13" s="18">
        <v>90</v>
      </c>
      <c r="K13" s="91" t="s">
        <v>1140</v>
      </c>
      <c r="L13" s="91" t="s">
        <v>1137</v>
      </c>
      <c r="M13" s="91" t="s">
        <v>23</v>
      </c>
      <c r="N13" s="91"/>
      <c r="O13" s="91" t="str">
        <f t="shared" si="6"/>
        <v>W</v>
      </c>
      <c r="P13" s="26" t="str">
        <f t="shared" si="0"/>
        <v>N</v>
      </c>
      <c r="Q13" s="26" t="str">
        <f t="shared" si="1"/>
        <v>ST</v>
      </c>
      <c r="R13" s="26" t="str">
        <f t="shared" si="2"/>
        <v>Lv 1</v>
      </c>
      <c r="S13" s="26" t="str">
        <f t="shared" si="3"/>
        <v>Lv 2</v>
      </c>
      <c r="T13" s="84" t="str">
        <f t="shared" si="7"/>
        <v/>
      </c>
      <c r="U13" s="5" t="str">
        <f t="shared" si="4"/>
        <v/>
      </c>
      <c r="V13" s="5" t="str">
        <f t="shared" si="5"/>
        <v/>
      </c>
      <c r="W13" s="138" t="str">
        <f t="shared" si="8"/>
        <v/>
      </c>
      <c r="X13" s="5" t="str">
        <f t="shared" si="9"/>
        <v/>
      </c>
    </row>
    <row r="14" spans="1:24" s="4" customFormat="1" ht="114.75" customHeight="1">
      <c r="A14" s="91" t="s">
        <v>484</v>
      </c>
      <c r="B14" s="91" t="s">
        <v>933</v>
      </c>
      <c r="C14" s="91" t="s">
        <v>474</v>
      </c>
      <c r="D14" s="91" t="s">
        <v>474</v>
      </c>
      <c r="E14" s="91" t="s">
        <v>1153</v>
      </c>
      <c r="F14" s="14" t="s">
        <v>466</v>
      </c>
      <c r="G14" s="14" t="s">
        <v>475</v>
      </c>
      <c r="H14" s="14" t="s">
        <v>98</v>
      </c>
      <c r="I14" s="14" t="s">
        <v>468</v>
      </c>
      <c r="J14" s="14" t="s">
        <v>1154</v>
      </c>
      <c r="K14" s="21" t="s">
        <v>1155</v>
      </c>
      <c r="L14" s="91" t="s">
        <v>417</v>
      </c>
      <c r="M14" s="21" t="s">
        <v>36</v>
      </c>
      <c r="N14" s="91" t="s">
        <v>1156</v>
      </c>
      <c r="O14" s="91" t="str">
        <f t="shared" si="6"/>
        <v>D</v>
      </c>
      <c r="P14" s="26" t="str">
        <f t="shared" si="0"/>
        <v>C</v>
      </c>
      <c r="Q14" s="26" t="str">
        <f t="shared" si="1"/>
        <v>ST</v>
      </c>
      <c r="R14" s="26" t="str">
        <f t="shared" si="2"/>
        <v>Lv 1</v>
      </c>
      <c r="S14" s="26" t="str">
        <f t="shared" si="3"/>
        <v>Lv 5</v>
      </c>
      <c r="T14" s="84" t="str">
        <f t="shared" si="7"/>
        <v>D-C-ST-Lv 1-Lv 5</v>
      </c>
      <c r="U14" s="5" t="str">
        <f t="shared" si="4"/>
        <v>COL</v>
      </c>
      <c r="V14" s="5" t="str">
        <f t="shared" si="5"/>
        <v>LEATHER</v>
      </c>
      <c r="W14" s="138" t="str">
        <f t="shared" si="8"/>
        <v>COL-LEATHER</v>
      </c>
      <c r="X14" s="5" t="str">
        <f t="shared" si="9"/>
        <v>⚠️ [카라 고위험] 데님-레더/우레탄: 워싱 시 극심한 축률 차이 및 표면 손상 주의</v>
      </c>
    </row>
    <row r="15" spans="1:24" ht="114.75" customHeight="1">
      <c r="A15" s="91" t="s">
        <v>484</v>
      </c>
      <c r="B15" s="91" t="s">
        <v>933</v>
      </c>
      <c r="C15" s="91" t="s">
        <v>474</v>
      </c>
      <c r="D15" s="91" t="s">
        <v>474</v>
      </c>
      <c r="E15" s="91" t="s">
        <v>1153</v>
      </c>
      <c r="F15" s="14" t="s">
        <v>466</v>
      </c>
      <c r="G15" s="14" t="s">
        <v>475</v>
      </c>
      <c r="H15" s="14" t="s">
        <v>98</v>
      </c>
      <c r="I15" s="14" t="s">
        <v>468</v>
      </c>
      <c r="J15" s="14" t="s">
        <v>1154</v>
      </c>
      <c r="K15" s="21" t="s">
        <v>1155</v>
      </c>
      <c r="L15" s="91" t="s">
        <v>417</v>
      </c>
      <c r="M15" s="21" t="s">
        <v>36</v>
      </c>
      <c r="N15" s="91" t="s">
        <v>1156</v>
      </c>
      <c r="O15" s="91" t="str">
        <f t="shared" si="6"/>
        <v>D</v>
      </c>
      <c r="P15" s="26" t="str">
        <f t="shared" si="0"/>
        <v>C</v>
      </c>
      <c r="Q15" s="26" t="str">
        <f t="shared" si="1"/>
        <v>ST</v>
      </c>
      <c r="R15" s="26" t="str">
        <f t="shared" si="2"/>
        <v>Lv 1</v>
      </c>
      <c r="S15" s="26" t="str">
        <f t="shared" si="3"/>
        <v>Lv 5</v>
      </c>
      <c r="T15" s="84" t="str">
        <f t="shared" si="7"/>
        <v>D-C-ST-Lv 1-Lv 5</v>
      </c>
      <c r="U15" s="5" t="str">
        <f t="shared" si="4"/>
        <v>COL</v>
      </c>
      <c r="V15" s="5" t="str">
        <f t="shared" si="5"/>
        <v>LEATHER</v>
      </c>
      <c r="W15" s="138" t="str">
        <f t="shared" si="8"/>
        <v>COL-LEATHER</v>
      </c>
      <c r="X15" s="5" t="str">
        <f t="shared" si="9"/>
        <v>⚠️ [카라 고위험] 데님-레더/우레탄: 워싱 시 극심한 축률 차이 및 표면 손상 주의</v>
      </c>
    </row>
    <row r="16" spans="1:24">
      <c r="P16" s="3"/>
      <c r="Q16" s="3"/>
      <c r="R16" s="3"/>
      <c r="S16" s="3"/>
    </row>
    <row r="17" spans="16:19">
      <c r="P17" s="3"/>
      <c r="Q17" s="3"/>
      <c r="R17" s="3"/>
      <c r="S17" s="3"/>
    </row>
    <row r="18" spans="16:19">
      <c r="P18" s="3"/>
      <c r="Q18" s="3"/>
      <c r="R18" s="3"/>
      <c r="S18" s="3"/>
    </row>
    <row r="19" spans="16:19">
      <c r="P19" s="3"/>
      <c r="Q19" s="3"/>
      <c r="R19" s="3"/>
      <c r="S19" s="3"/>
    </row>
    <row r="20" spans="16:19">
      <c r="P20" s="3"/>
      <c r="Q20" s="3"/>
      <c r="R20" s="3"/>
      <c r="S20" s="3"/>
    </row>
    <row r="21" spans="16:19">
      <c r="P21" s="3"/>
      <c r="Q21" s="3"/>
      <c r="R21" s="3"/>
      <c r="S21" s="3"/>
    </row>
    <row r="22" spans="16:19">
      <c r="P22" s="3"/>
      <c r="Q22" s="3"/>
      <c r="R22" s="3"/>
      <c r="S22" s="3"/>
    </row>
    <row r="23" spans="16:19">
      <c r="P23" s="3"/>
      <c r="Q23" s="3"/>
      <c r="R23" s="3"/>
      <c r="S23" s="3"/>
    </row>
    <row r="24" spans="16:19">
      <c r="P24" s="3"/>
      <c r="Q24" s="3"/>
      <c r="R24" s="3"/>
      <c r="S24" s="3"/>
    </row>
    <row r="25" spans="16:19">
      <c r="P25" s="3"/>
      <c r="Q25" s="3"/>
      <c r="R25" s="3"/>
      <c r="S25" s="3"/>
    </row>
    <row r="26" spans="16:19">
      <c r="P26" s="3"/>
      <c r="Q26" s="3"/>
      <c r="R26" s="3"/>
      <c r="S26" s="3"/>
    </row>
    <row r="27" spans="16:19">
      <c r="P27" s="3"/>
      <c r="Q27" s="3"/>
      <c r="R27" s="3"/>
      <c r="S27" s="3"/>
    </row>
    <row r="28" spans="16:19">
      <c r="P28" s="3"/>
      <c r="Q28" s="3"/>
      <c r="R28" s="3"/>
      <c r="S28" s="3"/>
    </row>
    <row r="29" spans="16:19">
      <c r="P29" s="3"/>
      <c r="Q29" s="3"/>
      <c r="R29" s="3"/>
      <c r="S29" s="3"/>
    </row>
    <row r="30" spans="16:19">
      <c r="P30" s="3"/>
      <c r="Q30" s="3"/>
      <c r="R30" s="3"/>
      <c r="S30" s="3"/>
    </row>
    <row r="31" spans="16:19">
      <c r="P31" s="3"/>
      <c r="Q31" s="3"/>
      <c r="R31" s="3"/>
      <c r="S31" s="3"/>
    </row>
    <row r="32" spans="16:19">
      <c r="P32" s="3"/>
      <c r="Q32" s="3"/>
      <c r="R32" s="3"/>
      <c r="S32" s="3"/>
    </row>
    <row r="33" spans="16:19">
      <c r="P33" s="3"/>
      <c r="Q33" s="3"/>
      <c r="R33" s="3"/>
      <c r="S33" s="3"/>
    </row>
    <row r="34" spans="16:19">
      <c r="P34" s="3"/>
      <c r="Q34" s="3"/>
      <c r="R34" s="3"/>
      <c r="S34" s="3"/>
    </row>
    <row r="35" spans="16:19">
      <c r="P35" s="3"/>
      <c r="Q35" s="3"/>
      <c r="R35" s="3"/>
      <c r="S35" s="3"/>
    </row>
    <row r="36" spans="16:19">
      <c r="P36" s="3"/>
      <c r="Q36" s="3"/>
      <c r="R36" s="3"/>
      <c r="S36" s="3"/>
    </row>
    <row r="37" spans="16:19">
      <c r="P37" s="3"/>
      <c r="Q37" s="3"/>
      <c r="R37" s="3"/>
      <c r="S37" s="3"/>
    </row>
    <row r="38" spans="16:19">
      <c r="P38" s="3"/>
      <c r="Q38" s="3"/>
      <c r="R38" s="3"/>
      <c r="S38" s="3"/>
    </row>
    <row r="39" spans="16:19">
      <c r="P39" s="3"/>
      <c r="Q39" s="3"/>
      <c r="R39" s="3"/>
      <c r="S39" s="3"/>
    </row>
    <row r="40" spans="16:19">
      <c r="P40" s="3"/>
      <c r="Q40" s="3"/>
      <c r="R40" s="3"/>
      <c r="S40" s="3"/>
    </row>
    <row r="41" spans="16:19">
      <c r="P41" s="3"/>
      <c r="Q41" s="3"/>
      <c r="R41" s="3"/>
      <c r="S41" s="3"/>
    </row>
    <row r="42" spans="16:19">
      <c r="P42" s="3"/>
      <c r="Q42" s="3"/>
      <c r="R42" s="3"/>
      <c r="S42" s="3"/>
    </row>
    <row r="43" spans="16:19">
      <c r="P43" s="3"/>
      <c r="Q43" s="3"/>
      <c r="R43" s="3"/>
      <c r="S43" s="3"/>
    </row>
    <row r="44" spans="16:19">
      <c r="P44" s="3"/>
      <c r="Q44" s="3"/>
      <c r="R44" s="3"/>
      <c r="S44" s="3"/>
    </row>
    <row r="45" spans="16:19">
      <c r="P45" s="3"/>
      <c r="Q45" s="3"/>
      <c r="R45" s="3"/>
      <c r="S45" s="3"/>
    </row>
    <row r="46" spans="16:19">
      <c r="P46" s="3"/>
      <c r="Q46" s="3"/>
      <c r="R46" s="3"/>
      <c r="S46" s="3"/>
    </row>
    <row r="47" spans="16:19">
      <c r="P47" s="3"/>
      <c r="Q47" s="3"/>
      <c r="R47" s="3"/>
      <c r="S47" s="3"/>
    </row>
    <row r="48" spans="16:19">
      <c r="P48" s="3"/>
      <c r="Q48" s="3"/>
      <c r="R48" s="3"/>
      <c r="S48" s="3"/>
    </row>
    <row r="49" spans="16:19">
      <c r="P49" s="3"/>
      <c r="Q49" s="3"/>
      <c r="R49" s="3"/>
      <c r="S49" s="3"/>
    </row>
    <row r="50" spans="16:19">
      <c r="P50" s="3"/>
      <c r="Q50" s="3"/>
      <c r="R50" s="3"/>
      <c r="S50" s="3"/>
    </row>
    <row r="51" spans="16:19">
      <c r="P51" s="3"/>
      <c r="Q51" s="3"/>
      <c r="R51" s="3"/>
      <c r="S51" s="3"/>
    </row>
    <row r="52" spans="16:19">
      <c r="P52" s="3"/>
      <c r="Q52" s="3"/>
      <c r="R52" s="3"/>
      <c r="S52" s="3"/>
    </row>
    <row r="53" spans="16:19">
      <c r="P53" s="3"/>
      <c r="Q53" s="3"/>
      <c r="R53" s="3"/>
      <c r="S53" s="3"/>
    </row>
    <row r="54" spans="16:19">
      <c r="P54" s="3"/>
      <c r="Q54" s="3"/>
      <c r="R54" s="3"/>
      <c r="S54" s="3"/>
    </row>
    <row r="55" spans="16:19">
      <c r="P55" s="3"/>
      <c r="Q55" s="3"/>
      <c r="R55" s="3"/>
      <c r="S55" s="3"/>
    </row>
    <row r="56" spans="16:19">
      <c r="P56" s="3"/>
      <c r="Q56" s="3"/>
      <c r="R56" s="3"/>
      <c r="S56" s="3"/>
    </row>
    <row r="57" spans="16:19">
      <c r="P57" s="3"/>
      <c r="Q57" s="3"/>
      <c r="R57" s="3"/>
      <c r="S57" s="3"/>
    </row>
    <row r="58" spans="16:19">
      <c r="P58" s="3"/>
      <c r="Q58" s="3"/>
      <c r="R58" s="3"/>
      <c r="S58" s="3"/>
    </row>
    <row r="59" spans="16:19">
      <c r="P59" s="3"/>
      <c r="Q59" s="3"/>
      <c r="R59" s="3"/>
      <c r="S59" s="3"/>
    </row>
    <row r="60" spans="16:19">
      <c r="P60" s="3"/>
      <c r="Q60" s="3"/>
      <c r="R60" s="3"/>
      <c r="S60" s="3"/>
    </row>
    <row r="61" spans="16:19">
      <c r="P61" s="3"/>
      <c r="Q61" s="3"/>
      <c r="R61" s="3"/>
      <c r="S61" s="3"/>
    </row>
    <row r="62" spans="16:19">
      <c r="P62" s="3"/>
      <c r="Q62" s="3"/>
      <c r="R62" s="3"/>
      <c r="S62" s="3"/>
    </row>
    <row r="63" spans="16:19">
      <c r="P63" s="3"/>
      <c r="Q63" s="3"/>
      <c r="R63" s="3"/>
      <c r="S63" s="3"/>
    </row>
    <row r="64" spans="16:19">
      <c r="P64" s="3"/>
      <c r="Q64" s="3"/>
      <c r="R64" s="3"/>
      <c r="S64" s="3"/>
    </row>
    <row r="65" spans="16:19">
      <c r="P65" s="3"/>
      <c r="Q65" s="3"/>
      <c r="R65" s="3"/>
      <c r="S65" s="3"/>
    </row>
    <row r="66" spans="16:19">
      <c r="P66" s="3"/>
      <c r="Q66" s="3"/>
      <c r="R66" s="3"/>
      <c r="S66" s="3"/>
    </row>
    <row r="67" spans="16:19">
      <c r="P67" s="3"/>
      <c r="Q67" s="3"/>
      <c r="R67" s="3"/>
      <c r="S67" s="3"/>
    </row>
  </sheetData>
  <autoFilter ref="A1:N14" xr:uid="{67E285BA-AA72-4B1F-8B6F-AE7B244EF8AF}"/>
  <phoneticPr fontId="1" type="noConversion"/>
  <conditionalFormatting sqref="X1:X1048576">
    <cfRule type="containsText" dxfId="2" priority="1" operator="containsText" text="⚠️">
      <formula>NOT(ISERROR(SEARCH("⚠️",X1)))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45011A-6018-4E1E-8710-750DFFCE5786}">
  <dimension ref="A1:X84"/>
  <sheetViews>
    <sheetView topLeftCell="L1" zoomScale="40" zoomScaleNormal="40" workbookViewId="0">
      <pane ySplit="1" topLeftCell="A2" activePane="bottomLeft" state="frozen"/>
      <selection pane="bottomLeft" activeCell="O2" sqref="O2"/>
    </sheetView>
  </sheetViews>
  <sheetFormatPr defaultColWidth="9" defaultRowHeight="25.2"/>
  <cols>
    <col min="1" max="1" width="15" style="34" customWidth="1"/>
    <col min="2" max="2" width="19.8984375" style="34" customWidth="1"/>
    <col min="3" max="3" width="14.8984375" style="34" customWidth="1"/>
    <col min="4" max="4" width="17.69921875" style="34" customWidth="1"/>
    <col min="5" max="5" width="22.3984375" style="34" customWidth="1"/>
    <col min="6" max="6" width="46.5" style="23" customWidth="1"/>
    <col min="7" max="7" width="38.69921875" style="23" customWidth="1"/>
    <col min="8" max="8" width="61.09765625" style="23" customWidth="1"/>
    <col min="9" max="9" width="42.3984375" style="23" customWidth="1"/>
    <col min="10" max="10" width="14.3984375" style="23" customWidth="1"/>
    <col min="11" max="11" width="56.09765625" style="34" customWidth="1"/>
    <col min="12" max="12" width="58.8984375" style="34" customWidth="1"/>
    <col min="13" max="13" width="33.5" style="34" customWidth="1"/>
    <col min="14" max="14" width="45.59765625" style="34" customWidth="1"/>
    <col min="15" max="15" width="13.59765625" style="34" customWidth="1"/>
    <col min="16" max="16" width="13.09765625" style="34" customWidth="1"/>
    <col min="17" max="17" width="13.09765625" style="73" customWidth="1"/>
    <col min="18" max="19" width="13.09765625" style="34" customWidth="1"/>
    <col min="20" max="20" width="33.09765625" style="34" bestFit="1" customWidth="1"/>
    <col min="21" max="22" width="14.69921875" style="34" customWidth="1"/>
    <col min="23" max="23" width="21.3984375" style="34" customWidth="1"/>
    <col min="24" max="24" width="125.8984375" style="34" bestFit="1" customWidth="1"/>
    <col min="25" max="16384" width="9" style="34"/>
  </cols>
  <sheetData>
    <row r="1" spans="1:24" s="23" customFormat="1" ht="62.25" customHeight="1">
      <c r="A1" s="111" t="s">
        <v>841</v>
      </c>
      <c r="B1" s="112" t="s">
        <v>842</v>
      </c>
      <c r="C1" s="113" t="s">
        <v>843</v>
      </c>
      <c r="D1" s="113" t="s">
        <v>844</v>
      </c>
      <c r="E1" s="113" t="s">
        <v>3</v>
      </c>
      <c r="F1" s="113" t="s">
        <v>845</v>
      </c>
      <c r="G1" s="113" t="s">
        <v>410</v>
      </c>
      <c r="H1" s="113" t="s">
        <v>411</v>
      </c>
      <c r="I1" s="113" t="s">
        <v>846</v>
      </c>
      <c r="J1" s="114" t="s">
        <v>412</v>
      </c>
      <c r="K1" s="113" t="s">
        <v>1157</v>
      </c>
      <c r="L1" s="115" t="s">
        <v>848</v>
      </c>
      <c r="M1" s="106" t="s">
        <v>840</v>
      </c>
      <c r="N1" s="106" t="s">
        <v>849</v>
      </c>
      <c r="O1" s="86" t="s">
        <v>1391</v>
      </c>
      <c r="P1" s="86" t="s">
        <v>6</v>
      </c>
      <c r="Q1" s="86" t="s">
        <v>7</v>
      </c>
      <c r="R1" s="86" t="s">
        <v>8</v>
      </c>
      <c r="S1" s="87" t="s">
        <v>9</v>
      </c>
      <c r="T1" s="83" t="s">
        <v>12</v>
      </c>
      <c r="U1" s="83" t="s">
        <v>413</v>
      </c>
      <c r="V1" s="83" t="s">
        <v>414</v>
      </c>
      <c r="W1" s="83" t="s">
        <v>1316</v>
      </c>
      <c r="X1" s="83" t="s">
        <v>14</v>
      </c>
    </row>
    <row r="2" spans="1:24" s="23" customFormat="1" ht="110.25" customHeight="1">
      <c r="A2" s="91" t="s">
        <v>850</v>
      </c>
      <c r="B2" s="91" t="s">
        <v>851</v>
      </c>
      <c r="C2" s="91" t="s">
        <v>111</v>
      </c>
      <c r="D2" s="91" t="s">
        <v>111</v>
      </c>
      <c r="E2" s="91" t="s">
        <v>1158</v>
      </c>
      <c r="F2" s="91" t="s">
        <v>111</v>
      </c>
      <c r="G2" s="91" t="s">
        <v>517</v>
      </c>
      <c r="H2" s="21" t="s">
        <v>518</v>
      </c>
      <c r="I2" s="21" t="s">
        <v>114</v>
      </c>
      <c r="J2" s="21">
        <v>198</v>
      </c>
      <c r="K2" s="91" t="s">
        <v>1159</v>
      </c>
      <c r="L2" s="21" t="s">
        <v>519</v>
      </c>
      <c r="M2" s="91" t="s">
        <v>23</v>
      </c>
      <c r="N2" s="91"/>
      <c r="O2" s="91" t="str">
        <f>_xlfn.IFS(B2="다이마루","K",B2="우븐","W",B2="스웨터","S")</f>
        <v>K</v>
      </c>
      <c r="P2" s="26" t="str">
        <f t="shared" ref="P2:P12" si="0">IF(H2="", "",
 IF(AND(ISNUMBER(SEARCH("Cotton", H2)), OR(ISNUMBER(SEARCH("Sorona", H2)), ISNUMBER(SEARCH("Polyester(Sorona)", H2)))), "CS",
  IF(AND(ISNUMBER(SEARCH("Nylon", H2)), OR(ISNUMBER(SEARCH("Span", H2)), ISNUMBER(SEARCH("Polyurethane", H2)), ISNUMBER(SEARCH("Elastane", H2)))), "NX",
   IF(AND(ISNUMBER(SEARCH("Nylon", H2)), NOT(OR(ISNUMBER(SEARCH("Cotton", H2)), ISNUMBER(SEARCH("Polyester", H2)), ISNUMBER(SEARCH("Rayon", H2)), ISNUMBER(SEARCH("Modal", H2)), ISNUMBER(SEARCH("Viscose", H2))))), "N",
    IF(AND(ISNUMBER(SEARCH("Cotton", H2)), NOT(OR(ISNUMBER(SEARCH("Polyester", H2)), ISNUMBER(SEARCH("Nylon", H2)), ISNUMBER(SEARCH("Rayon", H2)), ISNUMBER(SEARCH("Modal", H2)), ISNUMBER(SEARCH("Viscose", H2)), ISNUMBER(SEARCH("Polyurethane", H2)), ISNUMBER(SEARCH("Span", H2))))), "C",
     IF(ISNUMBER(SEARCH("Cotton", H2)), "CX",
      IF(AND(ISNUMBER(SEARCH("Polyester", H2)), NOT(OR(ISNUMBER(SEARCH("Cotton", H2)), ISNUMBER(SEARCH("Nylon", H2)), ISNUMBER(SEARCH("Wool", H2)), ISNUMBER(SEARCH("Rayon", H2))))), "P",
       "S")))))))</f>
        <v>CX</v>
      </c>
      <c r="Q2" s="26" t="str">
        <f t="shared" ref="Q2:Q12" si="1">IF(OR(I2="", I2="X", I2="None"), "ST",
 IF(OR(ISNUMBER(SEARCH("Layer", I2)), ISNUMBER(SEARCH("Lamination", I2)), ISNUMBER(SEARCH("TPU", I2)), ISNUMBER(SEARCH("PU", I2))), "WP",
  IF(OR(ISNUMBER(SEARCH("WR", I2)), ISNUMBER(SEARCH("DWR", I2)), ISNUMBER(SEARCH("Cire", I2)), ISNUMBER(SEARCH("Coating", I2)), ISNUMBER(SEARCH("Print", I2))), "WR",
   IF(OR(ISNUMBER(SEARCH("Bio", I2)), ISNUMBER(SEARCH("Enzyme", I2)), ISNUMBER(SEARCH("Peach", I2)), ISNUMBER(SEARCH("Brush", I2)), ISNUMBER(SEARCH("Tumble", I2)), ISNUMBER(SEARCH("Airo", I2))), "AF",
    IF(OR(ISNUMBER(SEARCH("UV", I2)), ISNUMBER(SEARCH("Dry", I2)), ISNUMBER(SEARCH("Wick", I2)), ISNUMBER(SEARCH("Hydrolysis", I2))), "FN",
     "ST")))))</f>
        <v>ST</v>
      </c>
      <c r="R2" s="26" t="str">
        <f t="shared" ref="R2:R12" si="2">IF(H2="", "",
 IF(OR(ISNUMBER(SEARCH("Span",H2)), ISNUMBER(SEARCH("Polyurethane",H2)), ISNUMBER(SEARCH("PU",H2))),
    IF(IFERROR(VALUE(LEFT(SUBSTITUTE(MID(H2,SEARCH("%",H2)-3,3),",",""),2)),0)&gt;=12, "Lv 5",
    IF(IFERROR(VALUE(LEFT(SUBSTITUTE(MID(H2,SEARCH("%",H2)-3,3),",",""),2)),0)&gt;=6, "Lv 4", "Lv 3")),
    IF(OR(ISNUMBER(SEARCH("Sorona",H2)), ISNUMBER(SEARCH("T400",H2)), ISNUMBER(SEARCH("Knit",H2))), "Lv 2", "Lv 1")
 ))</f>
        <v>Lv 1</v>
      </c>
      <c r="S2" s="26" t="str">
        <f t="shared" ref="S2:S12" si="3">IF(OR(J2="", J2=0), "",
 IF(J2&lt;=80, "Lv 1",
  IF(J2&lt;=160, "Lv 2",
   IF(J2&lt;=260, "Lv 3",
    IF(J2&lt;=360, "Lv 4",
     "Lv 5")))))</f>
        <v>Lv 3</v>
      </c>
      <c r="T2" s="84" t="str">
        <f t="shared" ref="T2:T12" si="4">IF(M2="O", _xlfn.TEXTJOIN("-", TRUE, P2:S2), "")</f>
        <v/>
      </c>
      <c r="U2" s="26" t="str">
        <f t="shared" ref="U2:U12" si="5">IF(K2="", "",
 IF(OR(ISNUMBER(SEARCH("PRINT", K2)), ISNUMBER(SEARCH("프린트", K2)), ISNUMBER(SEARCH("transfer", K2))), "PRINT",
  IF(OR(ISNUMBER(SEARCH("EMB", K2)), ISNUMBER(SEARCH("자수", K2)), ISNUMBER(SEARCH("Stitch", K2))), "EMB", "기타")))</f>
        <v>PRINT</v>
      </c>
      <c r="V2" s="26" t="str">
        <f t="shared" ref="V2:V12" si="6">IF(K2="", "",
 IF(OR(ISNUMBER(SEARCH("transfer", K2)), ISNUMBER(SEARCH("Reflective", K2)), ISNUMBER(SEARCH("3M", K2))), "FILM",
  IF(OR(ISNUMBER(SEARCH("PRINT", K2)), ISNUMBER(SEARCH("DTP", K2)), ISNUMBER(SEARCH("프린트", K2))), "INK",
   IF(OR(ISNUMBER(SEARCH("볼륨", K2)), ISNUMBER(SEARCH("1T", K2)), ISNUMBER(SEARCH("직자수", K2))), "HEAVY",
    IF(OR(ISNUMBER(SEARCH("EMB", K2)), ISNUMBER(SEARCH("Stitch", K2)), ISNUMBER(SEARCH("새틴", K2))), "LIGHT", "기타")))))</f>
        <v>INK</v>
      </c>
      <c r="W2" s="84" t="str">
        <f>IF(M2="O", _xlfn.TEXTJOIN("-", TRUE, U2:V2), "")</f>
        <v/>
      </c>
      <c r="X2" s="26" t="str">
        <f>IF(OR(T2="", W2=""), "",IF(OR(T2="", W2="", M2="X", M2=""), "✅ 정상",
IF(OR(ISNUMBER(SEARCH("39CM", K2)), ISNUMBER(SEARCH("BIG", W2))), "⚠️ [핸드필 저하] 대형 프린트 작업 부위 원단 뻣뻣해짐 및 터치감 확인",
IF(AND(OR(ISNUMBER(SEARCH("NX", T2)), ISNUMBER(SEARCH("ST", T2))), ISNUMBER(SEARCH("EMB", W2))), "⚠️ [자수 퍼커링] 스판 원단 자수 침수 과다: 원단 우글거림 및 자수 부위 당김 확인",
IF(AND(ISNUMBER(SEARCH("N", T2)), ISNUMBER(SEARCH("PRINT-FILM", W2))), "⚠️ [열변색 주의] 나일론 원단 고온 압착 시 승화 이염 및 수축 테스트 필수",
IF(AND(OR(ISNUMBER(SEARCH("Lv 3", T2)), ISNUMBER(SEARCH("Lv 4", T2)), ISNUMBER(SEARCH("Lv 5", T2))), ISNUMBER(SEARCH("PRINT-INK", W2))), "⚠️ [프린트 크랙] 고신축 원단 신장 시 잉크 갈라짐 주의 (실리콘 잉크 권장)",
IF(AND(ISNUMBER(SEARCH("Lv 1", T2)), ISNUMBER(SEARCH("EMB-HEAVY", W2))), "⚠️ [원단 데미지] 초경량 원단 대비 자수 밀도 과다: 원단 찢어짐 및 처짐 확인",
IF(AND(ISNUMBER(SEARCH("Lv 5", T2)), ISNUMBER(SEARCH("EMB-LIGHT", W2))), "⚠️ [자수 파묻힘] 고중량 원단에 자수가 파묻힐 수 있음: 밀도 보완 및 외관 확인",
"✅ 정상"))))))))</f>
        <v/>
      </c>
    </row>
    <row r="3" spans="1:24" s="23" customFormat="1" ht="110.25" customHeight="1">
      <c r="A3" s="91" t="s">
        <v>850</v>
      </c>
      <c r="B3" s="91" t="s">
        <v>851</v>
      </c>
      <c r="C3" s="91" t="s">
        <v>111</v>
      </c>
      <c r="D3" s="91" t="s">
        <v>111</v>
      </c>
      <c r="E3" s="91" t="s">
        <v>1160</v>
      </c>
      <c r="F3" s="91" t="s">
        <v>111</v>
      </c>
      <c r="G3" s="91" t="s">
        <v>520</v>
      </c>
      <c r="H3" s="21" t="s">
        <v>521</v>
      </c>
      <c r="I3" s="21" t="s">
        <v>114</v>
      </c>
      <c r="J3" s="21">
        <v>220</v>
      </c>
      <c r="K3" s="91" t="s">
        <v>1161</v>
      </c>
      <c r="L3" s="91" t="s">
        <v>522</v>
      </c>
      <c r="M3" s="21" t="s">
        <v>23</v>
      </c>
      <c r="N3" s="91"/>
      <c r="O3" s="91" t="str">
        <f t="shared" ref="O3:O12" si="7">_xlfn.IFS(B3="다이마루","K",B3="우븐","W",B3="스웨터","S")</f>
        <v>K</v>
      </c>
      <c r="P3" s="26" t="str">
        <f t="shared" si="0"/>
        <v>CX</v>
      </c>
      <c r="Q3" s="26" t="str">
        <f t="shared" si="1"/>
        <v>ST</v>
      </c>
      <c r="R3" s="26" t="str">
        <f t="shared" si="2"/>
        <v>Lv 3</v>
      </c>
      <c r="S3" s="26" t="str">
        <f t="shared" si="3"/>
        <v>Lv 3</v>
      </c>
      <c r="T3" s="84" t="str">
        <f t="shared" si="4"/>
        <v/>
      </c>
      <c r="U3" s="26" t="str">
        <f t="shared" si="5"/>
        <v>PRINT</v>
      </c>
      <c r="V3" s="26" t="str">
        <f t="shared" si="6"/>
        <v>FILM</v>
      </c>
      <c r="W3" s="84" t="str">
        <f t="shared" ref="W3:W12" si="8">IF(M3="O", _xlfn.TEXTJOIN("-", TRUE, U3:V3), "")</f>
        <v/>
      </c>
      <c r="X3" s="26" t="str">
        <f t="shared" ref="X3:X12" si="9">IF(OR(T3="", W3=""), "",IF(OR(T3="", W3="", M3="X", M3=""), "✅ 정상",
IF(OR(ISNUMBER(SEARCH("39CM", K3)), ISNUMBER(SEARCH("BIG", W3))), "⚠️ [핸드필 저하] 대형 프린트 작업 부위 원단 뻣뻣해짐 및 터치감 확인",
IF(AND(OR(ISNUMBER(SEARCH("NX", T3)), ISNUMBER(SEARCH("ST", T3))), ISNUMBER(SEARCH("EMB", W3))), "⚠️ [자수 퍼커링] 스판 원단 자수 침수 과다: 원단 우글거림 및 자수 부위 당김 확인",
IF(AND(ISNUMBER(SEARCH("N", T3)), ISNUMBER(SEARCH("PRINT-FILM", W3))), "⚠️ [열변색 주의] 나일론 원단 고온 압착 시 승화 이염 및 수축 테스트 필수",
IF(AND(OR(ISNUMBER(SEARCH("Lv 3", T3)), ISNUMBER(SEARCH("Lv 4", T3)), ISNUMBER(SEARCH("Lv 5", T3))), ISNUMBER(SEARCH("PRINT-INK", W3))), "⚠️ [프린트 크랙] 고신축 원단 신장 시 잉크 갈라짐 주의 (실리콘 잉크 권장)",
IF(AND(ISNUMBER(SEARCH("Lv 1", T3)), ISNUMBER(SEARCH("EMB-HEAVY", W3))), "⚠️ [원단 데미지] 초경량 원단 대비 자수 밀도 과다: 원단 찢어짐 및 처짐 확인",
IF(AND(ISNUMBER(SEARCH("Lv 5", T3)), ISNUMBER(SEARCH("EMB-LIGHT", W3))), "⚠️ [자수 파묻힘] 고중량 원단에 자수가 파묻힐 수 있음: 밀도 보완 및 외관 확인",
"✅ 정상"))))))))</f>
        <v/>
      </c>
    </row>
    <row r="4" spans="1:24" s="23" customFormat="1" ht="110.25" customHeight="1">
      <c r="A4" s="91" t="s">
        <v>850</v>
      </c>
      <c r="B4" s="91" t="s">
        <v>851</v>
      </c>
      <c r="C4" s="91" t="s">
        <v>479</v>
      </c>
      <c r="D4" s="91" t="s">
        <v>1162</v>
      </c>
      <c r="E4" s="91" t="s">
        <v>1163</v>
      </c>
      <c r="F4" s="91" t="s">
        <v>119</v>
      </c>
      <c r="G4" s="91" t="s">
        <v>523</v>
      </c>
      <c r="H4" s="91" t="s">
        <v>524</v>
      </c>
      <c r="I4" s="91" t="s">
        <v>525</v>
      </c>
      <c r="J4" s="91">
        <v>200</v>
      </c>
      <c r="K4" s="91" t="s">
        <v>1164</v>
      </c>
      <c r="L4" s="21" t="s">
        <v>519</v>
      </c>
      <c r="M4" s="91" t="s">
        <v>23</v>
      </c>
      <c r="N4" s="91"/>
      <c r="O4" s="91" t="str">
        <f t="shared" si="7"/>
        <v>K</v>
      </c>
      <c r="P4" s="26" t="str">
        <f t="shared" si="0"/>
        <v>CX</v>
      </c>
      <c r="Q4" s="26" t="str">
        <f t="shared" si="1"/>
        <v>AF</v>
      </c>
      <c r="R4" s="26" t="str">
        <f t="shared" si="2"/>
        <v>Lv 1</v>
      </c>
      <c r="S4" s="26" t="str">
        <f t="shared" si="3"/>
        <v>Lv 3</v>
      </c>
      <c r="T4" s="84" t="str">
        <f t="shared" si="4"/>
        <v/>
      </c>
      <c r="U4" s="26" t="str">
        <f t="shared" si="5"/>
        <v>PRINT</v>
      </c>
      <c r="V4" s="26" t="str">
        <f t="shared" si="6"/>
        <v>INK</v>
      </c>
      <c r="W4" s="84" t="str">
        <f t="shared" si="8"/>
        <v/>
      </c>
      <c r="X4" s="26" t="str">
        <f t="shared" si="9"/>
        <v/>
      </c>
    </row>
    <row r="5" spans="1:24" s="23" customFormat="1" ht="73.5" customHeight="1">
      <c r="A5" s="91" t="s">
        <v>135</v>
      </c>
      <c r="B5" s="91" t="s">
        <v>861</v>
      </c>
      <c r="C5" s="91" t="s">
        <v>448</v>
      </c>
      <c r="D5" s="91" t="s">
        <v>965</v>
      </c>
      <c r="E5" s="91" t="s">
        <v>966</v>
      </c>
      <c r="F5" s="21" t="s">
        <v>161</v>
      </c>
      <c r="G5" s="91" t="s">
        <v>279</v>
      </c>
      <c r="H5" s="21" t="s">
        <v>156</v>
      </c>
      <c r="I5" s="91" t="s">
        <v>280</v>
      </c>
      <c r="J5" s="91">
        <v>180</v>
      </c>
      <c r="K5" s="91" t="s">
        <v>1165</v>
      </c>
      <c r="L5" s="91" t="s">
        <v>522</v>
      </c>
      <c r="M5" s="91" t="s">
        <v>36</v>
      </c>
      <c r="N5" s="91"/>
      <c r="O5" s="91" t="str">
        <f t="shared" si="7"/>
        <v>W</v>
      </c>
      <c r="P5" s="26" t="str">
        <f t="shared" si="0"/>
        <v>P</v>
      </c>
      <c r="Q5" s="26" t="str">
        <f t="shared" si="1"/>
        <v>WP</v>
      </c>
      <c r="R5" s="26" t="str">
        <f t="shared" si="2"/>
        <v>Lv 1</v>
      </c>
      <c r="S5" s="26" t="str">
        <f t="shared" si="3"/>
        <v>Lv 3</v>
      </c>
      <c r="T5" s="84" t="str">
        <f t="shared" si="4"/>
        <v>P-WP-Lv 1-Lv 3</v>
      </c>
      <c r="U5" s="26" t="str">
        <f t="shared" si="5"/>
        <v>PRINT</v>
      </c>
      <c r="V5" s="26" t="str">
        <f t="shared" si="6"/>
        <v>FILM</v>
      </c>
      <c r="W5" s="84" t="str">
        <f t="shared" si="8"/>
        <v>PRINT-FILM</v>
      </c>
      <c r="X5" s="26" t="str">
        <f t="shared" si="9"/>
        <v>⚠️ [핸드필 저하] 대형 프린트 작업 부위 원단 뻣뻣해짐 및 터치감 확인</v>
      </c>
    </row>
    <row r="6" spans="1:24" s="23" customFormat="1" ht="73.5" customHeight="1">
      <c r="A6" s="91" t="s">
        <v>135</v>
      </c>
      <c r="B6" s="91" t="s">
        <v>861</v>
      </c>
      <c r="C6" s="91" t="s">
        <v>453</v>
      </c>
      <c r="D6" s="91" t="s">
        <v>1166</v>
      </c>
      <c r="E6" s="91" t="s">
        <v>1167</v>
      </c>
      <c r="F6" s="91" t="s">
        <v>526</v>
      </c>
      <c r="G6" s="91" t="s">
        <v>527</v>
      </c>
      <c r="H6" s="21" t="s">
        <v>62</v>
      </c>
      <c r="I6" s="91" t="s">
        <v>528</v>
      </c>
      <c r="J6" s="91">
        <v>172</v>
      </c>
      <c r="K6" s="91" t="s">
        <v>1168</v>
      </c>
      <c r="L6" s="91" t="s">
        <v>1169</v>
      </c>
      <c r="M6" s="91" t="s">
        <v>36</v>
      </c>
      <c r="N6" s="91" t="s">
        <v>1170</v>
      </c>
      <c r="O6" s="91" t="str">
        <f t="shared" si="7"/>
        <v>W</v>
      </c>
      <c r="P6" s="26" t="str">
        <f t="shared" si="0"/>
        <v>NX</v>
      </c>
      <c r="Q6" s="26" t="str">
        <f t="shared" si="1"/>
        <v>WR</v>
      </c>
      <c r="R6" s="26" t="str">
        <f t="shared" si="2"/>
        <v>Lv 3</v>
      </c>
      <c r="S6" s="26" t="str">
        <f t="shared" si="3"/>
        <v>Lv 3</v>
      </c>
      <c r="T6" s="84" t="str">
        <f t="shared" si="4"/>
        <v>NX-WR-Lv 3-Lv 3</v>
      </c>
      <c r="U6" s="26" t="str">
        <f t="shared" si="5"/>
        <v>EMB</v>
      </c>
      <c r="V6" s="26" t="str">
        <f t="shared" si="6"/>
        <v>HEAVY</v>
      </c>
      <c r="W6" s="84" t="str">
        <f t="shared" si="8"/>
        <v>EMB-HEAVY</v>
      </c>
      <c r="X6" s="26" t="str">
        <f t="shared" si="9"/>
        <v>⚠️ [자수 퍼커링] 스판 원단 자수 침수 과다: 원단 우글거림 및 자수 부위 당김 확인</v>
      </c>
    </row>
    <row r="7" spans="1:24" s="23" customFormat="1" ht="73.5" customHeight="1">
      <c r="A7" s="91" t="s">
        <v>135</v>
      </c>
      <c r="B7" s="91" t="s">
        <v>861</v>
      </c>
      <c r="C7" s="91" t="s">
        <v>455</v>
      </c>
      <c r="D7" s="91" t="s">
        <v>981</v>
      </c>
      <c r="E7" s="91" t="s">
        <v>278</v>
      </c>
      <c r="F7" s="91" t="s">
        <v>161</v>
      </c>
      <c r="G7" s="91" t="s">
        <v>279</v>
      </c>
      <c r="H7" s="91" t="s">
        <v>156</v>
      </c>
      <c r="I7" s="91" t="s">
        <v>280</v>
      </c>
      <c r="J7" s="91">
        <v>180</v>
      </c>
      <c r="K7" s="91" t="s">
        <v>1171</v>
      </c>
      <c r="L7" s="91" t="s">
        <v>1169</v>
      </c>
      <c r="M7" s="91" t="s">
        <v>36</v>
      </c>
      <c r="N7" s="91" t="s">
        <v>1172</v>
      </c>
      <c r="O7" s="91" t="str">
        <f t="shared" si="7"/>
        <v>W</v>
      </c>
      <c r="P7" s="26" t="str">
        <f t="shared" si="0"/>
        <v>P</v>
      </c>
      <c r="Q7" s="26" t="str">
        <f t="shared" si="1"/>
        <v>WP</v>
      </c>
      <c r="R7" s="26" t="str">
        <f t="shared" si="2"/>
        <v>Lv 1</v>
      </c>
      <c r="S7" s="26" t="str">
        <f t="shared" si="3"/>
        <v>Lv 3</v>
      </c>
      <c r="T7" s="84" t="str">
        <f t="shared" si="4"/>
        <v>P-WP-Lv 1-Lv 3</v>
      </c>
      <c r="U7" s="26" t="str">
        <f t="shared" si="5"/>
        <v>EMB</v>
      </c>
      <c r="V7" s="26" t="str">
        <f t="shared" si="6"/>
        <v>HEAVY</v>
      </c>
      <c r="W7" s="84" t="str">
        <f t="shared" si="8"/>
        <v>EMB-HEAVY</v>
      </c>
      <c r="X7" s="26" t="str">
        <f t="shared" si="9"/>
        <v>⚠️ [원단 데미지] 초경량 원단 대비 자수 밀도 과다: 원단 찢어짐 및 처짐 확인</v>
      </c>
    </row>
    <row r="8" spans="1:24" s="23" customFormat="1" ht="94.5" customHeight="1">
      <c r="A8" s="91" t="s">
        <v>484</v>
      </c>
      <c r="B8" s="91" t="s">
        <v>851</v>
      </c>
      <c r="C8" s="91" t="s">
        <v>111</v>
      </c>
      <c r="D8" s="91" t="s">
        <v>111</v>
      </c>
      <c r="E8" s="91" t="s">
        <v>1173</v>
      </c>
      <c r="F8" s="18" t="s">
        <v>111</v>
      </c>
      <c r="G8" s="18" t="s">
        <v>1174</v>
      </c>
      <c r="H8" s="91" t="s">
        <v>1175</v>
      </c>
      <c r="I8" s="91" t="s">
        <v>114</v>
      </c>
      <c r="J8" s="21">
        <v>330</v>
      </c>
      <c r="K8" s="21" t="s">
        <v>1176</v>
      </c>
      <c r="L8" s="21" t="s">
        <v>1177</v>
      </c>
      <c r="M8" s="21" t="s">
        <v>36</v>
      </c>
      <c r="N8" s="91" t="s">
        <v>1178</v>
      </c>
      <c r="O8" s="91" t="str">
        <f t="shared" si="7"/>
        <v>K</v>
      </c>
      <c r="P8" s="26" t="str">
        <f t="shared" si="0"/>
        <v>CS</v>
      </c>
      <c r="Q8" s="26" t="str">
        <f t="shared" si="1"/>
        <v>ST</v>
      </c>
      <c r="R8" s="26" t="str">
        <f t="shared" si="2"/>
        <v>Lv 2</v>
      </c>
      <c r="S8" s="26" t="str">
        <f t="shared" si="3"/>
        <v>Lv 4</v>
      </c>
      <c r="T8" s="84" t="str">
        <f t="shared" si="4"/>
        <v>CS-ST-Lv 2-Lv 4</v>
      </c>
      <c r="U8" s="26" t="str">
        <f t="shared" si="5"/>
        <v>EMB</v>
      </c>
      <c r="V8" s="26" t="str">
        <f t="shared" si="6"/>
        <v>LIGHT</v>
      </c>
      <c r="W8" s="84" t="str">
        <f t="shared" si="8"/>
        <v>EMB-LIGHT</v>
      </c>
      <c r="X8" s="26" t="str">
        <f t="shared" si="9"/>
        <v>⚠️ [자수 퍼커링] 스판 원단 자수 침수 과다: 원단 우글거림 및 자수 부위 당김 확인</v>
      </c>
    </row>
    <row r="9" spans="1:24" s="23" customFormat="1" ht="94.5" customHeight="1">
      <c r="A9" s="91" t="s">
        <v>484</v>
      </c>
      <c r="B9" s="91" t="s">
        <v>851</v>
      </c>
      <c r="C9" s="91" t="s">
        <v>852</v>
      </c>
      <c r="D9" s="91" t="s">
        <v>853</v>
      </c>
      <c r="E9" s="91" t="s">
        <v>1179</v>
      </c>
      <c r="F9" s="14" t="s">
        <v>125</v>
      </c>
      <c r="G9" s="18" t="s">
        <v>855</v>
      </c>
      <c r="H9" s="14" t="s">
        <v>856</v>
      </c>
      <c r="I9" s="14" t="s">
        <v>857</v>
      </c>
      <c r="J9" s="91">
        <v>350</v>
      </c>
      <c r="K9" s="91" t="s">
        <v>1180</v>
      </c>
      <c r="L9" s="91" t="s">
        <v>1181</v>
      </c>
      <c r="M9" s="21" t="s">
        <v>23</v>
      </c>
      <c r="N9" s="91"/>
      <c r="O9" s="91" t="str">
        <f t="shared" si="7"/>
        <v>K</v>
      </c>
      <c r="P9" s="26" t="str">
        <f t="shared" si="0"/>
        <v>CX</v>
      </c>
      <c r="Q9" s="26" t="str">
        <f t="shared" si="1"/>
        <v>AF</v>
      </c>
      <c r="R9" s="26" t="str">
        <f t="shared" si="2"/>
        <v>Lv 1</v>
      </c>
      <c r="S9" s="26" t="str">
        <f t="shared" si="3"/>
        <v>Lv 4</v>
      </c>
      <c r="T9" s="84" t="str">
        <f t="shared" si="4"/>
        <v/>
      </c>
      <c r="U9" s="26" t="str">
        <f t="shared" si="5"/>
        <v>EMB</v>
      </c>
      <c r="V9" s="26" t="str">
        <f t="shared" si="6"/>
        <v>LIGHT</v>
      </c>
      <c r="W9" s="84" t="str">
        <f t="shared" si="8"/>
        <v/>
      </c>
      <c r="X9" s="26" t="str">
        <f t="shared" si="9"/>
        <v/>
      </c>
    </row>
    <row r="10" spans="1:24" s="23" customFormat="1" ht="94.5" customHeight="1">
      <c r="A10" s="91" t="s">
        <v>484</v>
      </c>
      <c r="B10" s="91" t="s">
        <v>861</v>
      </c>
      <c r="C10" s="91" t="s">
        <v>443</v>
      </c>
      <c r="D10" s="21" t="s">
        <v>1021</v>
      </c>
      <c r="E10" s="91" t="s">
        <v>1023</v>
      </c>
      <c r="F10" s="14" t="s">
        <v>161</v>
      </c>
      <c r="G10" s="91" t="s">
        <v>279</v>
      </c>
      <c r="H10" s="100" t="s">
        <v>156</v>
      </c>
      <c r="I10" s="147" t="s">
        <v>280</v>
      </c>
      <c r="J10" s="148">
        <v>180</v>
      </c>
      <c r="K10" s="21" t="s">
        <v>1182</v>
      </c>
      <c r="L10" s="21" t="s">
        <v>522</v>
      </c>
      <c r="M10" s="21" t="s">
        <v>23</v>
      </c>
      <c r="N10" s="141"/>
      <c r="O10" s="91" t="str">
        <f t="shared" si="7"/>
        <v>W</v>
      </c>
      <c r="P10" s="26" t="str">
        <f t="shared" si="0"/>
        <v>P</v>
      </c>
      <c r="Q10" s="26" t="str">
        <f t="shared" si="1"/>
        <v>WP</v>
      </c>
      <c r="R10" s="26" t="str">
        <f t="shared" si="2"/>
        <v>Lv 1</v>
      </c>
      <c r="S10" s="26" t="str">
        <f t="shared" si="3"/>
        <v>Lv 3</v>
      </c>
      <c r="T10" s="84" t="str">
        <f t="shared" si="4"/>
        <v/>
      </c>
      <c r="U10" s="26" t="str">
        <f t="shared" si="5"/>
        <v>PRINT</v>
      </c>
      <c r="V10" s="26" t="str">
        <f t="shared" si="6"/>
        <v>FILM</v>
      </c>
      <c r="W10" s="84" t="str">
        <f t="shared" si="8"/>
        <v/>
      </c>
      <c r="X10" s="26" t="str">
        <f t="shared" si="9"/>
        <v/>
      </c>
    </row>
    <row r="11" spans="1:24" s="23" customFormat="1" ht="94.5" customHeight="1">
      <c r="A11" s="91" t="s">
        <v>484</v>
      </c>
      <c r="B11" s="91" t="s">
        <v>861</v>
      </c>
      <c r="C11" s="91" t="s">
        <v>443</v>
      </c>
      <c r="D11" s="21" t="s">
        <v>1022</v>
      </c>
      <c r="E11" s="91" t="s">
        <v>1023</v>
      </c>
      <c r="F11" s="14" t="s">
        <v>161</v>
      </c>
      <c r="G11" s="91" t="s">
        <v>279</v>
      </c>
      <c r="H11" s="100" t="s">
        <v>156</v>
      </c>
      <c r="I11" s="147" t="s">
        <v>280</v>
      </c>
      <c r="J11" s="148">
        <v>180</v>
      </c>
      <c r="K11" s="21" t="s">
        <v>1182</v>
      </c>
      <c r="L11" s="21" t="s">
        <v>522</v>
      </c>
      <c r="M11" s="21" t="s">
        <v>23</v>
      </c>
      <c r="N11" s="141"/>
      <c r="O11" s="91" t="str">
        <f t="shared" si="7"/>
        <v>W</v>
      </c>
      <c r="P11" s="26" t="str">
        <f t="shared" si="0"/>
        <v>P</v>
      </c>
      <c r="Q11" s="26" t="str">
        <f t="shared" si="1"/>
        <v>WP</v>
      </c>
      <c r="R11" s="26" t="str">
        <f t="shared" si="2"/>
        <v>Lv 1</v>
      </c>
      <c r="S11" s="26" t="str">
        <f t="shared" si="3"/>
        <v>Lv 3</v>
      </c>
      <c r="T11" s="84" t="str">
        <f t="shared" si="4"/>
        <v/>
      </c>
      <c r="U11" s="26" t="str">
        <f t="shared" si="5"/>
        <v>PRINT</v>
      </c>
      <c r="V11" s="26" t="str">
        <f t="shared" si="6"/>
        <v>FILM</v>
      </c>
      <c r="W11" s="84" t="str">
        <f t="shared" si="8"/>
        <v/>
      </c>
      <c r="X11" s="26" t="str">
        <f t="shared" si="9"/>
        <v/>
      </c>
    </row>
    <row r="12" spans="1:24" s="23" customFormat="1" ht="114.75" customHeight="1">
      <c r="A12" s="91" t="s">
        <v>484</v>
      </c>
      <c r="B12" s="91" t="s">
        <v>861</v>
      </c>
      <c r="C12" s="91" t="s">
        <v>453</v>
      </c>
      <c r="D12" s="91" t="s">
        <v>916</v>
      </c>
      <c r="E12" s="91" t="s">
        <v>1183</v>
      </c>
      <c r="F12" s="14" t="s">
        <v>52</v>
      </c>
      <c r="G12" s="18" t="s">
        <v>1184</v>
      </c>
      <c r="H12" s="14" t="s">
        <v>54</v>
      </c>
      <c r="I12" s="14" t="s">
        <v>1185</v>
      </c>
      <c r="J12" s="14">
        <v>120</v>
      </c>
      <c r="K12" s="21" t="s">
        <v>1186</v>
      </c>
      <c r="L12" s="21" t="s">
        <v>1187</v>
      </c>
      <c r="M12" s="21" t="s">
        <v>36</v>
      </c>
      <c r="N12" s="91" t="s">
        <v>1188</v>
      </c>
      <c r="O12" s="91" t="str">
        <f t="shared" si="7"/>
        <v>W</v>
      </c>
      <c r="P12" s="26" t="str">
        <f t="shared" si="0"/>
        <v>NX</v>
      </c>
      <c r="Q12" s="26" t="str">
        <f t="shared" si="1"/>
        <v>ST</v>
      </c>
      <c r="R12" s="26" t="str">
        <f t="shared" si="2"/>
        <v>Lv 3</v>
      </c>
      <c r="S12" s="26" t="str">
        <f t="shared" si="3"/>
        <v>Lv 2</v>
      </c>
      <c r="T12" s="84" t="str">
        <f t="shared" si="4"/>
        <v>NX-ST-Lv 3-Lv 2</v>
      </c>
      <c r="U12" s="26" t="str">
        <f t="shared" si="5"/>
        <v>EMB</v>
      </c>
      <c r="V12" s="26" t="str">
        <f t="shared" si="6"/>
        <v>LIGHT</v>
      </c>
      <c r="W12" s="84" t="str">
        <f t="shared" si="8"/>
        <v>EMB-LIGHT</v>
      </c>
      <c r="X12" s="26" t="str">
        <f t="shared" si="9"/>
        <v>⚠️ [자수 퍼커링] 스판 원단 자수 침수 과다: 원단 우글거림 및 자수 부위 당김 확인</v>
      </c>
    </row>
    <row r="13" spans="1:24" ht="114.75" customHeight="1">
      <c r="A13" s="92"/>
      <c r="B13" s="92"/>
      <c r="C13" s="92"/>
      <c r="D13" s="92"/>
      <c r="E13" s="92"/>
      <c r="F13" s="97"/>
      <c r="G13" s="97"/>
      <c r="H13" s="97"/>
      <c r="I13" s="97"/>
      <c r="J13" s="97"/>
      <c r="K13" s="92"/>
      <c r="L13" s="92"/>
      <c r="Q13" s="34"/>
    </row>
    <row r="14" spans="1:24" ht="114.75" customHeight="1">
      <c r="A14" s="92"/>
      <c r="B14" s="92"/>
      <c r="C14" s="92"/>
      <c r="D14" s="92"/>
      <c r="E14" s="92"/>
      <c r="F14" s="97"/>
      <c r="G14" s="97"/>
      <c r="H14" s="97"/>
      <c r="I14" s="97"/>
      <c r="J14" s="97"/>
      <c r="K14" s="92"/>
      <c r="L14" s="92"/>
      <c r="Q14" s="34"/>
    </row>
    <row r="15" spans="1:24" ht="114.75" customHeight="1">
      <c r="A15" s="92"/>
      <c r="B15" s="92"/>
      <c r="C15" s="92"/>
      <c r="D15" s="92"/>
      <c r="E15" s="92"/>
      <c r="F15" s="97"/>
      <c r="G15" s="97"/>
      <c r="H15" s="97"/>
      <c r="I15" s="97"/>
      <c r="J15" s="97"/>
      <c r="K15" s="92"/>
      <c r="L15" s="92"/>
      <c r="Q15" s="34"/>
    </row>
    <row r="16" spans="1:24" ht="114.75" customHeight="1">
      <c r="A16" s="92"/>
      <c r="B16" s="92"/>
      <c r="C16" s="92"/>
      <c r="D16" s="92"/>
      <c r="E16" s="92"/>
      <c r="F16" s="97"/>
      <c r="G16" s="97"/>
      <c r="H16" s="97"/>
      <c r="I16" s="97"/>
      <c r="J16" s="97"/>
      <c r="K16" s="92"/>
      <c r="L16" s="92"/>
      <c r="Q16" s="34"/>
    </row>
    <row r="17" spans="1:17" ht="114.75" customHeight="1">
      <c r="A17" s="92"/>
      <c r="B17" s="92"/>
      <c r="C17" s="92"/>
      <c r="D17" s="92"/>
      <c r="E17" s="92"/>
      <c r="F17" s="97"/>
      <c r="G17" s="97"/>
      <c r="H17" s="97"/>
      <c r="I17" s="97"/>
      <c r="J17" s="97"/>
      <c r="K17" s="92"/>
      <c r="L17" s="92"/>
      <c r="Q17" s="34"/>
    </row>
    <row r="18" spans="1:17" ht="114.75" customHeight="1">
      <c r="A18" s="92"/>
      <c r="B18" s="92"/>
      <c r="C18" s="92"/>
      <c r="D18" s="92"/>
      <c r="E18" s="92"/>
      <c r="F18" s="97"/>
      <c r="G18" s="97"/>
      <c r="H18" s="97"/>
      <c r="I18" s="97"/>
      <c r="J18" s="97"/>
      <c r="K18" s="92"/>
      <c r="L18" s="92"/>
      <c r="Q18" s="34"/>
    </row>
    <row r="19" spans="1:17">
      <c r="A19" s="92"/>
      <c r="B19" s="92"/>
      <c r="C19" s="92"/>
      <c r="D19" s="92"/>
      <c r="E19" s="92"/>
      <c r="F19" s="97"/>
      <c r="G19" s="97"/>
      <c r="H19" s="97"/>
      <c r="I19" s="97"/>
      <c r="J19" s="97"/>
      <c r="K19" s="92"/>
      <c r="L19" s="92"/>
      <c r="Q19" s="34"/>
    </row>
    <row r="20" spans="1:17">
      <c r="Q20" s="34"/>
    </row>
    <row r="21" spans="1:17">
      <c r="Q21" s="34"/>
    </row>
    <row r="22" spans="1:17">
      <c r="Q22" s="34"/>
    </row>
    <row r="23" spans="1:17">
      <c r="Q23" s="34"/>
    </row>
    <row r="24" spans="1:17">
      <c r="Q24" s="34"/>
    </row>
    <row r="25" spans="1:17">
      <c r="Q25" s="34"/>
    </row>
    <row r="26" spans="1:17">
      <c r="Q26" s="34"/>
    </row>
    <row r="27" spans="1:17">
      <c r="Q27" s="34"/>
    </row>
    <row r="28" spans="1:17">
      <c r="Q28" s="34"/>
    </row>
    <row r="29" spans="1:17">
      <c r="Q29" s="34"/>
    </row>
    <row r="30" spans="1:17">
      <c r="Q30" s="34"/>
    </row>
    <row r="31" spans="1:17">
      <c r="Q31" s="34"/>
    </row>
    <row r="32" spans="1:17">
      <c r="Q32" s="34"/>
    </row>
    <row r="33" spans="17:17">
      <c r="Q33" s="34"/>
    </row>
    <row r="34" spans="17:17">
      <c r="Q34" s="34"/>
    </row>
    <row r="35" spans="17:17">
      <c r="Q35" s="34"/>
    </row>
    <row r="36" spans="17:17">
      <c r="Q36" s="34"/>
    </row>
    <row r="37" spans="17:17">
      <c r="Q37" s="34"/>
    </row>
    <row r="38" spans="17:17">
      <c r="Q38" s="34"/>
    </row>
    <row r="39" spans="17:17">
      <c r="Q39" s="34"/>
    </row>
    <row r="40" spans="17:17">
      <c r="Q40" s="34"/>
    </row>
    <row r="41" spans="17:17">
      <c r="Q41" s="34"/>
    </row>
    <row r="42" spans="17:17">
      <c r="Q42" s="34"/>
    </row>
    <row r="43" spans="17:17">
      <c r="Q43" s="34"/>
    </row>
    <row r="44" spans="17:17">
      <c r="Q44" s="34"/>
    </row>
    <row r="45" spans="17:17">
      <c r="Q45" s="34"/>
    </row>
    <row r="46" spans="17:17">
      <c r="Q46" s="34"/>
    </row>
    <row r="47" spans="17:17">
      <c r="Q47" s="34"/>
    </row>
    <row r="48" spans="17:17">
      <c r="Q48" s="34"/>
    </row>
    <row r="49" spans="17:17">
      <c r="Q49" s="34"/>
    </row>
    <row r="50" spans="17:17">
      <c r="Q50" s="34"/>
    </row>
    <row r="51" spans="17:17">
      <c r="Q51" s="34"/>
    </row>
    <row r="52" spans="17:17">
      <c r="Q52" s="34"/>
    </row>
    <row r="53" spans="17:17">
      <c r="Q53" s="34"/>
    </row>
    <row r="54" spans="17:17">
      <c r="Q54" s="34"/>
    </row>
    <row r="55" spans="17:17">
      <c r="Q55" s="34"/>
    </row>
    <row r="56" spans="17:17">
      <c r="Q56" s="34"/>
    </row>
    <row r="57" spans="17:17">
      <c r="Q57" s="34"/>
    </row>
    <row r="58" spans="17:17">
      <c r="Q58" s="34"/>
    </row>
    <row r="59" spans="17:17">
      <c r="Q59" s="34"/>
    </row>
    <row r="60" spans="17:17">
      <c r="Q60" s="34"/>
    </row>
    <row r="61" spans="17:17">
      <c r="Q61" s="34"/>
    </row>
    <row r="62" spans="17:17">
      <c r="Q62" s="34"/>
    </row>
    <row r="63" spans="17:17">
      <c r="Q63" s="34"/>
    </row>
    <row r="64" spans="17:17">
      <c r="Q64" s="34"/>
    </row>
    <row r="65" spans="17:17">
      <c r="Q65" s="34"/>
    </row>
    <row r="66" spans="17:17">
      <c r="Q66" s="34"/>
    </row>
    <row r="67" spans="17:17">
      <c r="Q67" s="34"/>
    </row>
    <row r="68" spans="17:17">
      <c r="Q68" s="34"/>
    </row>
    <row r="69" spans="17:17">
      <c r="Q69" s="34"/>
    </row>
    <row r="70" spans="17:17">
      <c r="Q70" s="34"/>
    </row>
    <row r="71" spans="17:17">
      <c r="Q71" s="34"/>
    </row>
    <row r="72" spans="17:17">
      <c r="Q72" s="34"/>
    </row>
    <row r="73" spans="17:17">
      <c r="Q73" s="34"/>
    </row>
    <row r="74" spans="17:17">
      <c r="Q74" s="34"/>
    </row>
    <row r="75" spans="17:17">
      <c r="Q75" s="34"/>
    </row>
    <row r="76" spans="17:17">
      <c r="Q76" s="34"/>
    </row>
    <row r="77" spans="17:17">
      <c r="Q77" s="34"/>
    </row>
    <row r="78" spans="17:17">
      <c r="Q78" s="34"/>
    </row>
    <row r="79" spans="17:17">
      <c r="Q79" s="34"/>
    </row>
    <row r="80" spans="17:17">
      <c r="Q80" s="34"/>
    </row>
    <row r="81" spans="16:20">
      <c r="Q81" s="34"/>
    </row>
    <row r="82" spans="16:20">
      <c r="Q82" s="34"/>
    </row>
    <row r="83" spans="16:20">
      <c r="Q83" s="34"/>
    </row>
    <row r="84" spans="16:20">
      <c r="P84" s="3"/>
      <c r="Q84" s="3"/>
      <c r="R84" s="3"/>
      <c r="S84" s="3"/>
      <c r="T84" s="3"/>
    </row>
  </sheetData>
  <autoFilter ref="A1:N12" xr:uid="{67E285BA-AA72-4B1F-8B6F-AE7B244EF8AF}"/>
  <phoneticPr fontId="1" type="noConversion"/>
  <conditionalFormatting sqref="X1:X1048576">
    <cfRule type="containsText" dxfId="1" priority="1" operator="containsText" text="⚠️">
      <formula>NOT(ISERROR(SEARCH("⚠️",X1)))</formula>
    </cfRule>
    <cfRule type="containsText" dxfId="0" priority="2" operator="containsText" text="주의">
      <formula>NOT(ISERROR(SEARCH("주의",X1)))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904BBB-8316-4946-913C-6ED085390086}">
  <dimension ref="A1:T13"/>
  <sheetViews>
    <sheetView zoomScale="55" zoomScaleNormal="55" workbookViewId="0">
      <pane xSplit="5" topLeftCell="M1" activePane="topRight" state="frozen"/>
      <selection activeCell="A4" sqref="A4"/>
      <selection pane="topRight" activeCell="O2" sqref="O2"/>
    </sheetView>
  </sheetViews>
  <sheetFormatPr defaultColWidth="9" defaultRowHeight="24"/>
  <cols>
    <col min="1" max="3" width="20.5" style="1" customWidth="1"/>
    <col min="4" max="4" width="17.69921875" style="1" customWidth="1"/>
    <col min="5" max="5" width="22.3984375" style="1" customWidth="1"/>
    <col min="6" max="6" width="39.59765625" style="2" customWidth="1"/>
    <col min="7" max="7" width="38.69921875" style="2" customWidth="1"/>
    <col min="8" max="8" width="61.09765625" style="2" customWidth="1"/>
    <col min="9" max="9" width="27" style="2" customWidth="1"/>
    <col min="10" max="11" width="14.3984375" style="2" customWidth="1"/>
    <col min="12" max="12" width="58.8984375" style="1" customWidth="1"/>
    <col min="13" max="13" width="21.59765625" style="1" customWidth="1"/>
    <col min="14" max="14" width="45.59765625" style="1" customWidth="1"/>
    <col min="15" max="19" width="10.5" style="1" customWidth="1"/>
    <col min="20" max="20" width="33.5" style="1" customWidth="1"/>
    <col min="21" max="16384" width="9" style="1"/>
  </cols>
  <sheetData>
    <row r="1" spans="1:20" s="2" customFormat="1" ht="62.25" customHeight="1">
      <c r="A1" s="149" t="s">
        <v>841</v>
      </c>
      <c r="B1" s="149" t="s">
        <v>842</v>
      </c>
      <c r="C1" s="149" t="s">
        <v>843</v>
      </c>
      <c r="D1" s="149" t="s">
        <v>844</v>
      </c>
      <c r="E1" s="149" t="s">
        <v>3</v>
      </c>
      <c r="F1" s="149" t="s">
        <v>845</v>
      </c>
      <c r="G1" s="149" t="s">
        <v>410</v>
      </c>
      <c r="H1" s="149" t="s">
        <v>411</v>
      </c>
      <c r="I1" s="149" t="s">
        <v>846</v>
      </c>
      <c r="J1" s="150" t="s">
        <v>412</v>
      </c>
      <c r="K1" s="150"/>
      <c r="L1" s="151" t="s">
        <v>848</v>
      </c>
      <c r="M1" s="90" t="s">
        <v>840</v>
      </c>
      <c r="N1" s="149" t="s">
        <v>849</v>
      </c>
      <c r="O1" s="86" t="s">
        <v>1391</v>
      </c>
      <c r="P1" s="86" t="s">
        <v>6</v>
      </c>
      <c r="Q1" s="86" t="s">
        <v>7</v>
      </c>
      <c r="R1" s="86" t="s">
        <v>8</v>
      </c>
      <c r="S1" s="87" t="s">
        <v>9</v>
      </c>
      <c r="T1" s="83" t="s">
        <v>12</v>
      </c>
    </row>
    <row r="2" spans="1:20" s="2" customFormat="1" ht="73.5" customHeight="1">
      <c r="A2" s="118" t="s">
        <v>135</v>
      </c>
      <c r="B2" s="118" t="s">
        <v>861</v>
      </c>
      <c r="C2" s="118" t="s">
        <v>443</v>
      </c>
      <c r="D2" s="118" t="s">
        <v>959</v>
      </c>
      <c r="E2" s="118" t="s">
        <v>1189</v>
      </c>
      <c r="F2" s="118" t="s">
        <v>210</v>
      </c>
      <c r="G2" s="118" t="s">
        <v>211</v>
      </c>
      <c r="H2" s="118" t="s">
        <v>212</v>
      </c>
      <c r="I2" s="118" t="s">
        <v>213</v>
      </c>
      <c r="J2" s="118">
        <v>92</v>
      </c>
      <c r="K2" s="118"/>
      <c r="L2" s="118" t="s">
        <v>1190</v>
      </c>
      <c r="M2" s="118"/>
      <c r="N2" s="118"/>
      <c r="O2" s="91" t="str">
        <f>_xlfn.IFS(B2="다이마루","K",B2="우븐","W",B2="스웨터","S")</f>
        <v>W</v>
      </c>
      <c r="P2" s="26" t="str">
        <f>IF(H2="", "",
 IF(AND(ISNUMBER(SEARCH("Cotton", H2)), OR(ISNUMBER(SEARCH("Sorona", H2)), ISNUMBER(SEARCH("Polyester(Sorona)", H2)))), "CS",
  IF(AND(ISNUMBER(SEARCH("Nylon", H2)), OR(ISNUMBER(SEARCH("Span", H2)), ISNUMBER(SEARCH("Polyurethane", H2)), ISNUMBER(SEARCH("Elastane", H2)))), "NX",
   IF(AND(ISNUMBER(SEARCH("Nylon", H2)), NOT(OR(ISNUMBER(SEARCH("Cotton", H2)), ISNUMBER(SEARCH("Polyester", H2)), ISNUMBER(SEARCH("Rayon", H2)), ISNUMBER(SEARCH("Modal", H2)), ISNUMBER(SEARCH("Viscose", H2))))), "N",
    IF(AND(ISNUMBER(SEARCH("Cotton", H2)), NOT(OR(ISNUMBER(SEARCH("Polyester", H2)), ISNUMBER(SEARCH("Nylon", H2)), ISNUMBER(SEARCH("Rayon", H2)), ISNUMBER(SEARCH("Modal", H2)), ISNUMBER(SEARCH("Viscose", H2)), ISNUMBER(SEARCH("Polyurethane", H2)), ISNUMBER(SEARCH("Span", H2))))), "C",
     IF(ISNUMBER(SEARCH("Cotton", H2)), "CX",
      IF(AND(ISNUMBER(SEARCH("Polyester", H2)), NOT(OR(ISNUMBER(SEARCH("Cotton", H2)), ISNUMBER(SEARCH("Nylon", H2)), ISNUMBER(SEARCH("Wool", H2)), ISNUMBER(SEARCH("Rayon", H2))))), "P",
       "S")))))))</f>
        <v>P</v>
      </c>
      <c r="Q2" s="26" t="str">
        <f>IF(OR(I2="", I2="X", I2="None"), "ST",
 IF(OR(ISNUMBER(SEARCH("Layer", I2)), ISNUMBER(SEARCH("Lamination", I2)), ISNUMBER(SEARCH("TPU", I2)), ISNUMBER(SEARCH("PU", I2))), "WP",
  IF(OR(ISNUMBER(SEARCH("WR", I2)), ISNUMBER(SEARCH("DWR", I2)), ISNUMBER(SEARCH("Cire", I2)), ISNUMBER(SEARCH("Coating", I2)), ISNUMBER(SEARCH("Print", I2))), "WR",
   IF(OR(ISNUMBER(SEARCH("Bio", I2)), ISNUMBER(SEARCH("Enzyme", I2)), ISNUMBER(SEARCH("Peach", I2)), ISNUMBER(SEARCH("Brush", I2)), ISNUMBER(SEARCH("Tumble", I2)), ISNUMBER(SEARCH("Airo", I2))), "AF",
    IF(OR(ISNUMBER(SEARCH("UV", I2)), ISNUMBER(SEARCH("Dry", I2)), ISNUMBER(SEARCH("Wick", I2)), ISNUMBER(SEARCH("Hydrolysis", I2))), "FN",
     "ST")))))</f>
        <v>WP</v>
      </c>
      <c r="R2" s="26" t="str">
        <f>IF(H2="", "",
 IF(OR(ISNUMBER(SEARCH("Span",H2)), ISNUMBER(SEARCH("Polyurethane",H2)), ISNUMBER(SEARCH("PU",H2))),
    IF(IFERROR(VALUE(LEFT(SUBSTITUTE(MID(H2,SEARCH("%",H2)-3,3),",",""),2)),0)&gt;=12, "Lv 5",
    IF(IFERROR(VALUE(LEFT(SUBSTITUTE(MID(H2,SEARCH("%",H2)-3,3),",",""),2)),0)&gt;=6, "Lv 4", "Lv 3")),
    IF(OR(ISNUMBER(SEARCH("Sorona",H2)), ISNUMBER(SEARCH("T400",H2)), ISNUMBER(SEARCH("Knit",H2))), "Lv 2", "Lv 1")
 ))</f>
        <v>Lv 1</v>
      </c>
      <c r="S2" s="26" t="str">
        <f>IF(OR(J2="", J2=0), "",
 IF(J2&lt;=80, "Lv 1",
  IF(J2&lt;=160, "Lv 2",
   IF(J2&lt;=260, "Lv 3",
    IF(J2&lt;=360, "Lv 4",
     "Lv 5")))))</f>
        <v>Lv 2</v>
      </c>
      <c r="T2" s="84" t="str">
        <f>IF(M2="O", _xlfn.TEXTJOIN("-", TRUE, O2:S2), "")</f>
        <v/>
      </c>
    </row>
    <row r="3" spans="1:20" s="2" customFormat="1" ht="73.5" customHeight="1">
      <c r="A3" s="118" t="s">
        <v>135</v>
      </c>
      <c r="B3" s="118" t="s">
        <v>861</v>
      </c>
      <c r="C3" s="118" t="s">
        <v>443</v>
      </c>
      <c r="D3" s="118" t="s">
        <v>959</v>
      </c>
      <c r="E3" s="118" t="s">
        <v>1191</v>
      </c>
      <c r="F3" s="118" t="s">
        <v>210</v>
      </c>
      <c r="G3" s="118" t="s">
        <v>211</v>
      </c>
      <c r="H3" s="119" t="s">
        <v>212</v>
      </c>
      <c r="I3" s="118" t="s">
        <v>213</v>
      </c>
      <c r="J3" s="118">
        <v>92</v>
      </c>
      <c r="K3" s="118"/>
      <c r="L3" s="118" t="s">
        <v>1190</v>
      </c>
      <c r="M3" s="118"/>
      <c r="N3" s="118"/>
      <c r="O3" s="91" t="str">
        <f t="shared" ref="O3:O6" si="0">_xlfn.IFS(B3="다이마루","K",B3="우븐","W",B3="스웨터","S")</f>
        <v>W</v>
      </c>
      <c r="P3" s="26" t="str">
        <f>IF(H3="", "",
 IF(AND(ISNUMBER(SEARCH("Cotton", H3)), OR(ISNUMBER(SEARCH("Sorona", H3)), ISNUMBER(SEARCH("Polyester(Sorona)", H3)))), "CS",
  IF(AND(ISNUMBER(SEARCH("Nylon", H3)), OR(ISNUMBER(SEARCH("Span", H3)), ISNUMBER(SEARCH("Polyurethane", H3)), ISNUMBER(SEARCH("Elastane", H3)))), "NX",
   IF(AND(ISNUMBER(SEARCH("Nylon", H3)), NOT(OR(ISNUMBER(SEARCH("Cotton", H3)), ISNUMBER(SEARCH("Polyester", H3)), ISNUMBER(SEARCH("Rayon", H3)), ISNUMBER(SEARCH("Modal", H3)), ISNUMBER(SEARCH("Viscose", H3))))), "N",
    IF(AND(ISNUMBER(SEARCH("Cotton", H3)), NOT(OR(ISNUMBER(SEARCH("Polyester", H3)), ISNUMBER(SEARCH("Nylon", H3)), ISNUMBER(SEARCH("Rayon", H3)), ISNUMBER(SEARCH("Modal", H3)), ISNUMBER(SEARCH("Viscose", H3)), ISNUMBER(SEARCH("Polyurethane", H3)), ISNUMBER(SEARCH("Span", H3))))), "C",
     IF(ISNUMBER(SEARCH("Cotton", H3)), "CX",
      IF(AND(ISNUMBER(SEARCH("Polyester", H3)), NOT(OR(ISNUMBER(SEARCH("Cotton", H3)), ISNUMBER(SEARCH("Nylon", H3)), ISNUMBER(SEARCH("Wool", H3)), ISNUMBER(SEARCH("Rayon", H3))))), "P",
       "S")))))))</f>
        <v>P</v>
      </c>
      <c r="Q3" s="26" t="str">
        <f t="shared" ref="Q3:Q6" si="1">IF(OR(I3="", I3="X", I3="None"), "ST",
 IF(OR(ISNUMBER(SEARCH("Layer", I3)), ISNUMBER(SEARCH("Lamination", I3)), ISNUMBER(SEARCH("TPU", I3)), ISNUMBER(SEARCH("PU", I3))), "WP",
  IF(OR(ISNUMBER(SEARCH("WR", I3)), ISNUMBER(SEARCH("DWR", I3)), ISNUMBER(SEARCH("Cire", I3)), ISNUMBER(SEARCH("Coating", I3)), ISNUMBER(SEARCH("Print", I3))), "WR",
   IF(OR(ISNUMBER(SEARCH("Bio", I3)), ISNUMBER(SEARCH("Enzyme", I3)), ISNUMBER(SEARCH("Peach", I3)), ISNUMBER(SEARCH("Brush", I3)), ISNUMBER(SEARCH("Tumble", I3)), ISNUMBER(SEARCH("Airo", I3))), "AF",
    IF(OR(ISNUMBER(SEARCH("UV", I3)), ISNUMBER(SEARCH("Dry", I3)), ISNUMBER(SEARCH("Wick", I3)), ISNUMBER(SEARCH("Hydrolysis", I3))), "FN",
     "ST")))))</f>
        <v>WP</v>
      </c>
      <c r="R3" s="26" t="str">
        <f>IF(H3="", "",
 IF(OR(ISNUMBER(SEARCH("Span",H3)), ISNUMBER(SEARCH("Polyurethane",H3)), ISNUMBER(SEARCH("PU",H3))),
    IF(IFERROR(VALUE(LEFT(SUBSTITUTE(MID(H3,SEARCH("%",H3)-3,3),",",""),2)),0)&gt;=12, "Lv 5",
    IF(IFERROR(VALUE(LEFT(SUBSTITUTE(MID(H3,SEARCH("%",H3)-3,3),",",""),2)),0)&gt;=6, "Lv 4", "Lv 3")),
    IF(OR(ISNUMBER(SEARCH("Sorona",H3)), ISNUMBER(SEARCH("T400",H3)), ISNUMBER(SEARCH("Knit",H3))), "Lv 2", "Lv 1")
 ))</f>
        <v>Lv 1</v>
      </c>
      <c r="S3" s="26" t="str">
        <f>IF(OR(J3="", J3=0), "",
 IF(J3&lt;=80, "Lv 1",
  IF(J3&lt;=160, "Lv 2",
   IF(J3&lt;=260, "Lv 3",
    IF(J3&lt;=360, "Lv 4",
     "Lv 5")))))</f>
        <v>Lv 2</v>
      </c>
      <c r="T3" s="84" t="str">
        <f t="shared" ref="T3:T6" si="2">IF(M3="O", _xlfn.TEXTJOIN("-", TRUE, O3:S3), "")</f>
        <v/>
      </c>
    </row>
    <row r="4" spans="1:20" s="2" customFormat="1" ht="73.5" customHeight="1">
      <c r="A4" s="118" t="s">
        <v>135</v>
      </c>
      <c r="B4" s="118" t="s">
        <v>861</v>
      </c>
      <c r="C4" s="118" t="s">
        <v>1192</v>
      </c>
      <c r="D4" s="118" t="s">
        <v>224</v>
      </c>
      <c r="E4" s="118" t="s">
        <v>209</v>
      </c>
      <c r="F4" s="118" t="s">
        <v>210</v>
      </c>
      <c r="G4" s="118" t="s">
        <v>211</v>
      </c>
      <c r="H4" s="118" t="s">
        <v>212</v>
      </c>
      <c r="I4" s="118" t="s">
        <v>213</v>
      </c>
      <c r="J4" s="118">
        <v>92</v>
      </c>
      <c r="K4" s="118"/>
      <c r="L4" s="118" t="s">
        <v>1190</v>
      </c>
      <c r="M4" s="118"/>
      <c r="N4" s="118"/>
      <c r="O4" s="91" t="str">
        <f t="shared" si="0"/>
        <v>W</v>
      </c>
      <c r="P4" s="26" t="str">
        <f>IF(H4="", "",
 IF(AND(ISNUMBER(SEARCH("Cotton", H4)), OR(ISNUMBER(SEARCH("Sorona", H4)), ISNUMBER(SEARCH("Polyester(Sorona)", H4)))), "CS",
  IF(AND(ISNUMBER(SEARCH("Nylon", H4)), OR(ISNUMBER(SEARCH("Span", H4)), ISNUMBER(SEARCH("Polyurethane", H4)), ISNUMBER(SEARCH("Elastane", H4)))), "NX",
   IF(AND(ISNUMBER(SEARCH("Nylon", H4)), NOT(OR(ISNUMBER(SEARCH("Cotton", H4)), ISNUMBER(SEARCH("Polyester", H4)), ISNUMBER(SEARCH("Rayon", H4)), ISNUMBER(SEARCH("Modal", H4)), ISNUMBER(SEARCH("Viscose", H4))))), "N",
    IF(AND(ISNUMBER(SEARCH("Cotton", H4)), NOT(OR(ISNUMBER(SEARCH("Polyester", H4)), ISNUMBER(SEARCH("Nylon", H4)), ISNUMBER(SEARCH("Rayon", H4)), ISNUMBER(SEARCH("Modal", H4)), ISNUMBER(SEARCH("Viscose", H4)), ISNUMBER(SEARCH("Polyurethane", H4)), ISNUMBER(SEARCH("Span", H4))))), "C",
     IF(ISNUMBER(SEARCH("Cotton", H4)), "CX",
      IF(AND(ISNUMBER(SEARCH("Polyester", H4)), NOT(OR(ISNUMBER(SEARCH("Cotton", H4)), ISNUMBER(SEARCH("Nylon", H4)), ISNUMBER(SEARCH("Wool", H4)), ISNUMBER(SEARCH("Rayon", H4))))), "P",
       "S")))))))</f>
        <v>P</v>
      </c>
      <c r="Q4" s="26" t="str">
        <f t="shared" si="1"/>
        <v>WP</v>
      </c>
      <c r="R4" s="26" t="str">
        <f>IF(H4="", "",
 IF(OR(ISNUMBER(SEARCH("Span",H4)), ISNUMBER(SEARCH("Polyurethane",H4)), ISNUMBER(SEARCH("PU",H4))),
    IF(IFERROR(VALUE(LEFT(SUBSTITUTE(MID(H4,SEARCH("%",H4)-3,3),",",""),2)),0)&gt;=12, "Lv 5",
    IF(IFERROR(VALUE(LEFT(SUBSTITUTE(MID(H4,SEARCH("%",H4)-3,3),",",""),2)),0)&gt;=6, "Lv 4", "Lv 3")),
    IF(OR(ISNUMBER(SEARCH("Sorona",H4)), ISNUMBER(SEARCH("T400",H4)), ISNUMBER(SEARCH("Knit",H4))), "Lv 2", "Lv 1")
 ))</f>
        <v>Lv 1</v>
      </c>
      <c r="S4" s="26" t="str">
        <f>IF(OR(J4="", J4=0), "",
 IF(J4&lt;=80, "Lv 1",
  IF(J4&lt;=160, "Lv 2",
   IF(J4&lt;=260, "Lv 3",
    IF(J4&lt;=360, "Lv 4",
     "Lv 5")))))</f>
        <v>Lv 2</v>
      </c>
      <c r="T4" s="84" t="str">
        <f t="shared" si="2"/>
        <v/>
      </c>
    </row>
    <row r="5" spans="1:20" s="2" customFormat="1" ht="73.5" customHeight="1">
      <c r="A5" s="118" t="s">
        <v>135</v>
      </c>
      <c r="B5" s="118" t="s">
        <v>861</v>
      </c>
      <c r="C5" s="118" t="s">
        <v>1192</v>
      </c>
      <c r="D5" s="118" t="s">
        <v>224</v>
      </c>
      <c r="E5" s="118" t="s">
        <v>1193</v>
      </c>
      <c r="F5" s="118" t="s">
        <v>210</v>
      </c>
      <c r="G5" s="118" t="s">
        <v>211</v>
      </c>
      <c r="H5" s="118" t="s">
        <v>212</v>
      </c>
      <c r="I5" s="118" t="s">
        <v>213</v>
      </c>
      <c r="J5" s="118">
        <v>92</v>
      </c>
      <c r="K5" s="118"/>
      <c r="L5" s="118" t="s">
        <v>1194</v>
      </c>
      <c r="M5" s="118"/>
      <c r="N5" s="118"/>
      <c r="O5" s="91" t="str">
        <f t="shared" si="0"/>
        <v>W</v>
      </c>
      <c r="P5" s="26" t="str">
        <f>IF(H5="", "",
 IF(AND(ISNUMBER(SEARCH("Cotton", H5)), OR(ISNUMBER(SEARCH("Sorona", H5)), ISNUMBER(SEARCH("Polyester(Sorona)", H5)))), "CS",
  IF(AND(ISNUMBER(SEARCH("Nylon", H5)), OR(ISNUMBER(SEARCH("Span", H5)), ISNUMBER(SEARCH("Polyurethane", H5)), ISNUMBER(SEARCH("Elastane", H5)))), "NX",
   IF(AND(ISNUMBER(SEARCH("Nylon", H5)), NOT(OR(ISNUMBER(SEARCH("Cotton", H5)), ISNUMBER(SEARCH("Polyester", H5)), ISNUMBER(SEARCH("Rayon", H5)), ISNUMBER(SEARCH("Modal", H5)), ISNUMBER(SEARCH("Viscose", H5))))), "N",
    IF(AND(ISNUMBER(SEARCH("Cotton", H5)), NOT(OR(ISNUMBER(SEARCH("Polyester", H5)), ISNUMBER(SEARCH("Nylon", H5)), ISNUMBER(SEARCH("Rayon", H5)), ISNUMBER(SEARCH("Modal", H5)), ISNUMBER(SEARCH("Viscose", H5)), ISNUMBER(SEARCH("Polyurethane", H5)), ISNUMBER(SEARCH("Span", H5))))), "C",
     IF(ISNUMBER(SEARCH("Cotton", H5)), "CX",
      IF(AND(ISNUMBER(SEARCH("Polyester", H5)), NOT(OR(ISNUMBER(SEARCH("Cotton", H5)), ISNUMBER(SEARCH("Nylon", H5)), ISNUMBER(SEARCH("Wool", H5)), ISNUMBER(SEARCH("Rayon", H5))))), "P",
       "S")))))))</f>
        <v>P</v>
      </c>
      <c r="Q5" s="26" t="str">
        <f t="shared" si="1"/>
        <v>WP</v>
      </c>
      <c r="R5" s="26" t="str">
        <f>IF(H5="", "",
 IF(OR(ISNUMBER(SEARCH("Span",H5)), ISNUMBER(SEARCH("Polyurethane",H5)), ISNUMBER(SEARCH("PU",H5))),
    IF(IFERROR(VALUE(LEFT(SUBSTITUTE(MID(H5,SEARCH("%",H5)-3,3),",",""),2)),0)&gt;=12, "Lv 5",
    IF(IFERROR(VALUE(LEFT(SUBSTITUTE(MID(H5,SEARCH("%",H5)-3,3),",",""),2)),0)&gt;=6, "Lv 4", "Lv 3")),
    IF(OR(ISNUMBER(SEARCH("Sorona",H5)), ISNUMBER(SEARCH("T400",H5)), ISNUMBER(SEARCH("Knit",H5))), "Lv 2", "Lv 1")
 ))</f>
        <v>Lv 1</v>
      </c>
      <c r="S5" s="26" t="str">
        <f>IF(OR(J5="", J5=0), "",
 IF(J5&lt;=80, "Lv 1",
  IF(J5&lt;=160, "Lv 2",
   IF(J5&lt;=260, "Lv 3",
    IF(J5&lt;=360, "Lv 4",
     "Lv 5")))))</f>
        <v>Lv 2</v>
      </c>
      <c r="T5" s="84" t="str">
        <f t="shared" si="2"/>
        <v/>
      </c>
    </row>
    <row r="6" spans="1:20" s="2" customFormat="1" ht="73.5" customHeight="1">
      <c r="A6" s="118" t="s">
        <v>484</v>
      </c>
      <c r="B6" s="118" t="s">
        <v>861</v>
      </c>
      <c r="C6" s="118" t="s">
        <v>443</v>
      </c>
      <c r="D6" s="118" t="s">
        <v>959</v>
      </c>
      <c r="E6" s="118" t="s">
        <v>1028</v>
      </c>
      <c r="F6" s="118" t="s">
        <v>1195</v>
      </c>
      <c r="G6" s="118" t="s">
        <v>1196</v>
      </c>
      <c r="H6" s="118" t="s">
        <v>1197</v>
      </c>
      <c r="I6" s="118" t="s">
        <v>1198</v>
      </c>
      <c r="J6" s="118">
        <v>121</v>
      </c>
      <c r="K6" s="118"/>
      <c r="L6" s="119" t="s">
        <v>1030</v>
      </c>
      <c r="M6" s="119"/>
      <c r="N6" s="118"/>
      <c r="O6" s="91" t="str">
        <f t="shared" si="0"/>
        <v>W</v>
      </c>
      <c r="P6" s="26" t="str">
        <f>IF(H6="", "",
 IF(AND(ISNUMBER(SEARCH("Cotton", H6)), OR(ISNUMBER(SEARCH("Sorona", H6)), ISNUMBER(SEARCH("Polyester(Sorona)", H6)))), "CS",
  IF(AND(ISNUMBER(SEARCH("Nylon", H6)), OR(ISNUMBER(SEARCH("Span", H6)), ISNUMBER(SEARCH("Polyurethane", H6)), ISNUMBER(SEARCH("Elastane", H6)))), "NX",
   IF(AND(ISNUMBER(SEARCH("Nylon", H6)), NOT(OR(ISNUMBER(SEARCH("Cotton", H6)), ISNUMBER(SEARCH("Polyester", H6)), ISNUMBER(SEARCH("Rayon", H6)), ISNUMBER(SEARCH("Modal", H6)), ISNUMBER(SEARCH("Viscose", H6))))), "N",
    IF(AND(ISNUMBER(SEARCH("Cotton", H6)), NOT(OR(ISNUMBER(SEARCH("Polyester", H6)), ISNUMBER(SEARCH("Nylon", H6)), ISNUMBER(SEARCH("Rayon", H6)), ISNUMBER(SEARCH("Modal", H6)), ISNUMBER(SEARCH("Viscose", H6)), ISNUMBER(SEARCH("Polyurethane", H6)), ISNUMBER(SEARCH("Span", H6))))), "C",
     IF(ISNUMBER(SEARCH("Cotton", H6)), "CX",
      IF(AND(ISNUMBER(SEARCH("Polyester", H6)), NOT(OR(ISNUMBER(SEARCH("Cotton", H6)), ISNUMBER(SEARCH("Nylon", H6)), ISNUMBER(SEARCH("Wool", H6)), ISNUMBER(SEARCH("Rayon", H6))))), "P",
       "S")))))))</f>
        <v>P</v>
      </c>
      <c r="Q6" s="26" t="str">
        <f t="shared" si="1"/>
        <v>WP</v>
      </c>
      <c r="R6" s="26" t="str">
        <f>IF(H6="", "",
 IF(OR(ISNUMBER(SEARCH("Span",H6)), ISNUMBER(SEARCH("Polyurethane",H6)), ISNUMBER(SEARCH("PU",H6))),
    IF(IFERROR(VALUE(LEFT(SUBSTITUTE(MID(H6,SEARCH("%",H6)-3,3),",",""),2)),0)&gt;=12, "Lv 5",
    IF(IFERROR(VALUE(LEFT(SUBSTITUTE(MID(H6,SEARCH("%",H6)-3,3),",",""),2)),0)&gt;=6, "Lv 4", "Lv 3")),
    IF(OR(ISNUMBER(SEARCH("Sorona",H6)), ISNUMBER(SEARCH("T400",H6)), ISNUMBER(SEARCH("Knit",H6))), "Lv 2", "Lv 1")
 ))</f>
        <v>Lv 1</v>
      </c>
      <c r="S6" s="26" t="str">
        <f>IF(OR(J6="", J6=0), "",
 IF(J6&lt;=80, "Lv 1",
  IF(J6&lt;=160, "Lv 2",
   IF(J6&lt;=260, "Lv 3",
    IF(J6&lt;=360, "Lv 4",
     "Lv 5")))))</f>
        <v>Lv 2</v>
      </c>
      <c r="T6" s="84" t="str">
        <f t="shared" si="2"/>
        <v/>
      </c>
    </row>
    <row r="7" spans="1:20" ht="114.75" customHeight="1">
      <c r="A7" s="116"/>
      <c r="B7" s="116"/>
      <c r="C7" s="116"/>
      <c r="D7" s="116"/>
      <c r="E7" s="116"/>
      <c r="F7" s="117"/>
      <c r="G7" s="117"/>
      <c r="H7" s="117"/>
      <c r="I7" s="117"/>
      <c r="J7" s="117"/>
      <c r="K7" s="117"/>
      <c r="L7" s="116"/>
      <c r="M7" s="116"/>
      <c r="N7" s="116"/>
      <c r="O7" s="116"/>
      <c r="P7" s="117"/>
      <c r="Q7" s="116"/>
      <c r="R7" s="116"/>
      <c r="S7" s="116"/>
      <c r="T7" s="116"/>
    </row>
    <row r="8" spans="1:20" ht="114.75" customHeight="1">
      <c r="A8" s="116"/>
      <c r="B8" s="116"/>
      <c r="C8" s="116"/>
      <c r="D8" s="116"/>
      <c r="E8" s="116"/>
      <c r="F8" s="117"/>
      <c r="G8" s="117"/>
      <c r="H8" s="117"/>
      <c r="I8" s="117"/>
      <c r="J8" s="117"/>
      <c r="K8" s="117"/>
      <c r="L8" s="116"/>
      <c r="M8" s="116"/>
      <c r="N8" s="116"/>
      <c r="O8" s="116"/>
      <c r="P8" s="116"/>
    </row>
    <row r="9" spans="1:20" ht="114.75" customHeight="1">
      <c r="A9" s="116"/>
      <c r="B9" s="116"/>
      <c r="C9" s="116"/>
      <c r="D9" s="116"/>
      <c r="E9" s="116"/>
      <c r="F9" s="117"/>
      <c r="G9" s="117"/>
      <c r="H9" s="117"/>
      <c r="I9" s="117"/>
      <c r="J9" s="117"/>
      <c r="K9" s="117"/>
      <c r="L9" s="116"/>
      <c r="M9" s="116"/>
      <c r="N9" s="116"/>
      <c r="O9" s="116"/>
      <c r="P9" s="116"/>
    </row>
    <row r="10" spans="1:20" ht="114.75" customHeight="1">
      <c r="A10" s="116"/>
      <c r="B10" s="116"/>
      <c r="C10" s="116"/>
      <c r="D10" s="116"/>
      <c r="E10" s="116"/>
      <c r="F10" s="117"/>
      <c r="G10" s="117"/>
      <c r="H10" s="117"/>
      <c r="I10" s="117"/>
      <c r="J10" s="117"/>
      <c r="K10" s="117"/>
      <c r="L10" s="116"/>
      <c r="M10" s="116"/>
      <c r="N10" s="116"/>
      <c r="O10" s="116"/>
      <c r="P10" s="116"/>
    </row>
    <row r="11" spans="1:20" ht="114.75" customHeight="1">
      <c r="A11" s="116"/>
      <c r="B11" s="116"/>
      <c r="C11" s="116"/>
      <c r="D11" s="116"/>
      <c r="E11" s="116"/>
      <c r="F11" s="117"/>
      <c r="G11" s="117"/>
      <c r="H11" s="117"/>
      <c r="I11" s="117"/>
      <c r="J11" s="117"/>
      <c r="K11" s="117"/>
      <c r="L11" s="116"/>
      <c r="M11" s="116"/>
      <c r="N11" s="116"/>
      <c r="O11" s="116"/>
      <c r="P11" s="116"/>
    </row>
    <row r="12" spans="1:20" ht="114.75" customHeight="1">
      <c r="A12" s="116"/>
      <c r="B12" s="116"/>
      <c r="C12" s="116"/>
      <c r="D12" s="116"/>
      <c r="E12" s="116"/>
      <c r="F12" s="117"/>
      <c r="G12" s="117"/>
      <c r="H12" s="117"/>
      <c r="I12" s="117"/>
      <c r="J12" s="117"/>
      <c r="K12" s="117"/>
      <c r="L12" s="116"/>
      <c r="M12" s="116"/>
      <c r="N12" s="116"/>
      <c r="O12" s="116"/>
      <c r="P12" s="116"/>
    </row>
    <row r="13" spans="1:20" ht="114.75" customHeight="1">
      <c r="A13" s="116"/>
      <c r="B13" s="116"/>
      <c r="C13" s="116"/>
      <c r="D13" s="116"/>
      <c r="E13" s="116"/>
      <c r="F13" s="117"/>
      <c r="G13" s="117"/>
      <c r="H13" s="117"/>
      <c r="I13" s="117"/>
      <c r="J13" s="117"/>
      <c r="K13" s="117"/>
      <c r="L13" s="116"/>
      <c r="M13" s="116"/>
      <c r="N13" s="116"/>
      <c r="O13" s="116"/>
      <c r="P13" s="116"/>
    </row>
  </sheetData>
  <autoFilter ref="A1:N6" xr:uid="{67E285BA-AA72-4B1F-8B6F-AE7B244EF8AF}"/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69B898-14C6-4472-A3EC-AD1B1DB17CC4}">
  <dimension ref="A1:K20"/>
  <sheetViews>
    <sheetView zoomScale="40" zoomScaleNormal="40" workbookViewId="0">
      <pane ySplit="1" topLeftCell="A2" activePane="bottomLeft" state="frozen"/>
      <selection pane="bottomLeft" activeCell="M5" sqref="M5"/>
    </sheetView>
  </sheetViews>
  <sheetFormatPr defaultColWidth="9" defaultRowHeight="24"/>
  <cols>
    <col min="1" max="1" width="24.5" style="1" customWidth="1"/>
    <col min="2" max="2" width="30.69921875" style="1" customWidth="1"/>
    <col min="3" max="3" width="17.69921875" style="1" customWidth="1"/>
    <col min="4" max="4" width="22.3984375" style="1" customWidth="1"/>
    <col min="5" max="5" width="94.09765625" style="1" hidden="1" customWidth="1"/>
    <col min="6" max="6" width="46.19921875" style="2" customWidth="1"/>
    <col min="7" max="7" width="46.5" style="2" customWidth="1"/>
    <col min="8" max="8" width="61.09765625" style="2" customWidth="1"/>
    <col min="9" max="9" width="14.3984375" style="2" customWidth="1"/>
    <col min="10" max="10" width="27" style="2" customWidth="1"/>
    <col min="11" max="11" width="58.8984375" style="1" customWidth="1"/>
    <col min="12" max="12" width="9" style="1" bestFit="1" customWidth="1"/>
    <col min="13" max="16384" width="9" style="1"/>
  </cols>
  <sheetData>
    <row r="1" spans="1:11" s="2" customFormat="1" ht="62.25" customHeight="1">
      <c r="A1" s="149" t="s">
        <v>841</v>
      </c>
      <c r="B1" s="149" t="s">
        <v>843</v>
      </c>
      <c r="C1" s="149" t="s">
        <v>844</v>
      </c>
      <c r="D1" s="149" t="s">
        <v>3</v>
      </c>
      <c r="E1" s="149" t="s">
        <v>410</v>
      </c>
      <c r="F1" s="149" t="s">
        <v>529</v>
      </c>
      <c r="G1" s="149" t="s">
        <v>411</v>
      </c>
      <c r="H1" s="150" t="s">
        <v>412</v>
      </c>
      <c r="I1" s="149" t="s">
        <v>846</v>
      </c>
      <c r="J1" s="151" t="s">
        <v>848</v>
      </c>
      <c r="K1" s="149" t="s">
        <v>849</v>
      </c>
    </row>
    <row r="2" spans="1:11" s="2" customFormat="1" ht="135" customHeight="1">
      <c r="A2" s="118" t="s">
        <v>850</v>
      </c>
      <c r="B2" s="118" t="s">
        <v>111</v>
      </c>
      <c r="C2" s="118" t="s">
        <v>111</v>
      </c>
      <c r="D2" s="118" t="s">
        <v>1199</v>
      </c>
      <c r="E2" s="118"/>
      <c r="F2" s="118"/>
      <c r="G2" s="119"/>
      <c r="H2" s="119"/>
      <c r="I2" s="119"/>
      <c r="J2" s="118" t="s">
        <v>1200</v>
      </c>
      <c r="K2" s="119"/>
    </row>
    <row r="3" spans="1:11" s="2" customFormat="1" ht="135" customHeight="1">
      <c r="A3" s="118" t="s">
        <v>850</v>
      </c>
      <c r="B3" s="118" t="s">
        <v>432</v>
      </c>
      <c r="C3" s="118" t="s">
        <v>1201</v>
      </c>
      <c r="D3" s="118" t="s">
        <v>530</v>
      </c>
      <c r="E3" s="118"/>
      <c r="F3" s="118"/>
      <c r="G3" s="119"/>
      <c r="H3" s="118"/>
      <c r="I3" s="118"/>
      <c r="J3" s="118" t="s">
        <v>1202</v>
      </c>
      <c r="K3" s="118"/>
    </row>
    <row r="4" spans="1:11" s="2" customFormat="1" ht="135" customHeight="1">
      <c r="A4" s="118" t="s">
        <v>850</v>
      </c>
      <c r="B4" s="118" t="s">
        <v>432</v>
      </c>
      <c r="C4" s="118" t="s">
        <v>1201</v>
      </c>
      <c r="D4" s="118" t="s">
        <v>531</v>
      </c>
      <c r="E4" s="118"/>
      <c r="F4" s="118"/>
      <c r="G4" s="118"/>
      <c r="H4" s="118"/>
      <c r="I4" s="118"/>
      <c r="J4" s="118" t="s">
        <v>532</v>
      </c>
      <c r="K4" s="118"/>
    </row>
    <row r="5" spans="1:11" s="2" customFormat="1" ht="214.5" customHeight="1">
      <c r="A5" s="118" t="s">
        <v>850</v>
      </c>
      <c r="B5" s="118" t="s">
        <v>432</v>
      </c>
      <c r="C5" s="118" t="s">
        <v>1201</v>
      </c>
      <c r="D5" s="118" t="s">
        <v>533</v>
      </c>
      <c r="E5" s="118"/>
      <c r="F5" s="118"/>
      <c r="G5" s="118"/>
      <c r="H5" s="118"/>
      <c r="I5" s="118"/>
      <c r="J5" s="118" t="s">
        <v>532</v>
      </c>
      <c r="K5" s="118"/>
    </row>
    <row r="6" spans="1:11" s="2" customFormat="1" ht="135" customHeight="1">
      <c r="A6" s="118" t="s">
        <v>850</v>
      </c>
      <c r="B6" s="118" t="s">
        <v>89</v>
      </c>
      <c r="C6" s="118"/>
      <c r="D6" s="118" t="s">
        <v>534</v>
      </c>
      <c r="E6" s="118"/>
      <c r="F6" s="118"/>
      <c r="G6" s="118"/>
      <c r="H6" s="118"/>
      <c r="I6" s="118"/>
      <c r="J6" s="118" t="s">
        <v>1203</v>
      </c>
      <c r="K6" s="118"/>
    </row>
    <row r="7" spans="1:11" s="2" customFormat="1" ht="135" customHeight="1">
      <c r="A7" s="118" t="s">
        <v>850</v>
      </c>
      <c r="B7" s="118" t="s">
        <v>429</v>
      </c>
      <c r="C7" s="118"/>
      <c r="D7" s="118" t="s">
        <v>535</v>
      </c>
      <c r="E7" s="118"/>
      <c r="F7" s="118"/>
      <c r="G7" s="118"/>
      <c r="H7" s="118"/>
      <c r="I7" s="118"/>
      <c r="J7" s="118" t="s">
        <v>1204</v>
      </c>
      <c r="K7" s="119"/>
    </row>
    <row r="8" spans="1:11" s="2" customFormat="1" ht="135" customHeight="1">
      <c r="A8" s="118" t="s">
        <v>135</v>
      </c>
      <c r="B8" s="118" t="s">
        <v>460</v>
      </c>
      <c r="C8" s="118" t="s">
        <v>931</v>
      </c>
      <c r="D8" s="118" t="s">
        <v>295</v>
      </c>
      <c r="E8" s="119"/>
      <c r="F8" s="118"/>
      <c r="G8" s="118"/>
      <c r="H8" s="118"/>
      <c r="I8" s="118"/>
      <c r="J8" s="118" t="s">
        <v>1205</v>
      </c>
      <c r="K8" s="118"/>
    </row>
    <row r="9" spans="1:11" s="2" customFormat="1" ht="135" customHeight="1">
      <c r="A9" s="118" t="s">
        <v>135</v>
      </c>
      <c r="B9" s="118" t="s">
        <v>852</v>
      </c>
      <c r="C9" s="118" t="s">
        <v>853</v>
      </c>
      <c r="D9" s="118" t="s">
        <v>1206</v>
      </c>
      <c r="E9" s="118"/>
      <c r="F9" s="119"/>
      <c r="G9" s="119"/>
      <c r="H9" s="118"/>
      <c r="I9" s="118"/>
      <c r="J9" s="118" t="s">
        <v>532</v>
      </c>
      <c r="K9" s="118"/>
    </row>
    <row r="10" spans="1:11" s="2" customFormat="1" ht="135" customHeight="1">
      <c r="A10" s="118" t="s">
        <v>135</v>
      </c>
      <c r="B10" s="118" t="s">
        <v>479</v>
      </c>
      <c r="C10" s="118" t="s">
        <v>1207</v>
      </c>
      <c r="D10" s="118" t="s">
        <v>1208</v>
      </c>
      <c r="E10" s="118"/>
      <c r="F10" s="119"/>
      <c r="G10" s="119"/>
      <c r="H10" s="118"/>
      <c r="I10" s="118"/>
      <c r="J10" s="118" t="s">
        <v>532</v>
      </c>
      <c r="K10" s="118"/>
    </row>
    <row r="11" spans="1:11" s="2" customFormat="1" ht="135" customHeight="1">
      <c r="A11" s="118" t="s">
        <v>135</v>
      </c>
      <c r="B11" s="118" t="s">
        <v>1192</v>
      </c>
      <c r="C11" s="118" t="s">
        <v>905</v>
      </c>
      <c r="D11" s="118" t="s">
        <v>991</v>
      </c>
      <c r="E11" s="118"/>
      <c r="F11" s="118"/>
      <c r="G11" s="119"/>
      <c r="H11" s="118"/>
      <c r="I11" s="118"/>
      <c r="J11" s="118" t="s">
        <v>1209</v>
      </c>
      <c r="K11" s="118"/>
    </row>
    <row r="12" spans="1:11" s="2" customFormat="1" ht="135" customHeight="1">
      <c r="A12" s="118" t="s">
        <v>484</v>
      </c>
      <c r="B12" s="118" t="s">
        <v>89</v>
      </c>
      <c r="C12" s="118" t="s">
        <v>979</v>
      </c>
      <c r="D12" s="118" t="s">
        <v>1210</v>
      </c>
      <c r="E12" s="118"/>
      <c r="F12" s="118"/>
      <c r="G12" s="118"/>
      <c r="H12" s="118"/>
      <c r="I12" s="118"/>
      <c r="J12" s="119" t="s">
        <v>1211</v>
      </c>
      <c r="K12" s="119"/>
    </row>
    <row r="13" spans="1:11" s="2" customFormat="1" ht="135" customHeight="1">
      <c r="A13" s="118" t="s">
        <v>484</v>
      </c>
      <c r="B13" s="118" t="s">
        <v>89</v>
      </c>
      <c r="C13" s="118" t="s">
        <v>979</v>
      </c>
      <c r="D13" s="118" t="s">
        <v>1212</v>
      </c>
      <c r="E13" s="118"/>
      <c r="F13" s="119"/>
      <c r="G13" s="119"/>
      <c r="H13" s="118"/>
      <c r="I13" s="118"/>
      <c r="J13" s="118" t="s">
        <v>1213</v>
      </c>
      <c r="K13" s="119"/>
    </row>
    <row r="14" spans="1:11" ht="114.75" customHeight="1">
      <c r="A14" s="116"/>
      <c r="B14" s="116"/>
      <c r="C14" s="116"/>
      <c r="D14" s="116"/>
      <c r="E14" s="117"/>
      <c r="F14" s="117"/>
      <c r="G14" s="117"/>
      <c r="H14" s="117"/>
      <c r="I14" s="117"/>
      <c r="J14" s="116"/>
      <c r="K14" s="116"/>
    </row>
    <row r="15" spans="1:11" ht="114.75" customHeight="1">
      <c r="A15" s="116"/>
      <c r="B15" s="116"/>
      <c r="C15" s="116"/>
      <c r="D15" s="116"/>
      <c r="E15" s="117"/>
      <c r="F15" s="117"/>
      <c r="G15" s="117"/>
      <c r="H15" s="117"/>
      <c r="I15" s="117"/>
      <c r="J15" s="116"/>
      <c r="K15" s="116"/>
    </row>
    <row r="16" spans="1:11" ht="114.75" customHeight="1">
      <c r="A16" s="116"/>
      <c r="B16" s="116"/>
      <c r="C16" s="116"/>
      <c r="D16" s="116"/>
      <c r="E16" s="117"/>
      <c r="F16" s="117"/>
      <c r="G16" s="117"/>
      <c r="H16" s="117"/>
      <c r="I16" s="117"/>
      <c r="J16" s="116"/>
      <c r="K16" s="116"/>
    </row>
    <row r="17" spans="1:11" ht="114.75" customHeight="1">
      <c r="A17" s="116"/>
      <c r="B17" s="116"/>
      <c r="C17" s="116"/>
      <c r="D17" s="116"/>
      <c r="E17" s="117"/>
      <c r="F17" s="117"/>
      <c r="G17" s="117"/>
      <c r="H17" s="117"/>
      <c r="I17" s="117"/>
      <c r="J17" s="116"/>
      <c r="K17" s="116"/>
    </row>
    <row r="18" spans="1:11" ht="114.75" customHeight="1">
      <c r="A18" s="116"/>
      <c r="B18" s="116"/>
      <c r="C18" s="116"/>
      <c r="D18" s="116"/>
      <c r="E18" s="117"/>
      <c r="F18" s="117"/>
      <c r="G18" s="117"/>
      <c r="H18" s="117"/>
      <c r="I18" s="117"/>
      <c r="J18" s="116"/>
      <c r="K18" s="116"/>
    </row>
    <row r="19" spans="1:11" ht="114.75" customHeight="1">
      <c r="A19" s="116"/>
      <c r="B19" s="116"/>
      <c r="C19" s="116"/>
      <c r="D19" s="116"/>
      <c r="E19" s="117"/>
      <c r="F19" s="117"/>
      <c r="G19" s="117"/>
      <c r="H19" s="117"/>
      <c r="I19" s="117"/>
      <c r="J19" s="116"/>
      <c r="K19" s="116"/>
    </row>
    <row r="20" spans="1:11" ht="114.75" customHeight="1">
      <c r="A20" s="116"/>
      <c r="B20" s="116"/>
      <c r="C20" s="116"/>
      <c r="D20" s="116"/>
      <c r="E20" s="117"/>
      <c r="F20" s="117"/>
      <c r="G20" s="117"/>
      <c r="H20" s="117"/>
      <c r="I20" s="117"/>
      <c r="J20" s="116"/>
      <c r="K20" s="116"/>
    </row>
  </sheetData>
  <autoFilter ref="A1:K13" xr:uid="{67E285BA-AA72-4B1F-8B6F-AE7B244EF8AF}"/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A58C65-863D-4E0A-B345-FED9BAE3587F}">
  <sheetPr>
    <tabColor theme="9" tint="0.79998168889431442"/>
  </sheetPr>
  <dimension ref="A1:F96"/>
  <sheetViews>
    <sheetView topLeftCell="A36" zoomScale="85" zoomScaleNormal="85" workbookViewId="0">
      <selection activeCell="D52" sqref="D52"/>
    </sheetView>
  </sheetViews>
  <sheetFormatPr defaultColWidth="9" defaultRowHeight="17.399999999999999"/>
  <cols>
    <col min="1" max="1" width="11.19921875" style="74" customWidth="1"/>
    <col min="2" max="2" width="17.8984375" style="74" customWidth="1"/>
    <col min="3" max="3" width="46.5" style="74" bestFit="1" customWidth="1"/>
    <col min="4" max="4" width="73.09765625" style="74" customWidth="1"/>
    <col min="5" max="5" width="61.09765625" style="74" customWidth="1"/>
    <col min="6" max="6" width="31.8984375" style="74" bestFit="1" customWidth="1"/>
    <col min="7" max="12" width="9" style="74"/>
    <col min="13" max="13" width="48.3984375" style="74" customWidth="1"/>
    <col min="14" max="16384" width="9" style="74"/>
  </cols>
  <sheetData>
    <row r="1" spans="1:5" ht="27.6">
      <c r="A1" s="168" t="s">
        <v>536</v>
      </c>
      <c r="B1" s="168"/>
    </row>
    <row r="2" spans="1:5" ht="16.5" customHeight="1">
      <c r="A2" s="152" t="s">
        <v>537</v>
      </c>
      <c r="B2" s="152" t="s">
        <v>538</v>
      </c>
    </row>
    <row r="3" spans="1:5" ht="16.5" customHeight="1">
      <c r="A3" s="153" t="s">
        <v>539</v>
      </c>
      <c r="B3" s="153" t="s">
        <v>421</v>
      </c>
    </row>
    <row r="4" spans="1:5" ht="16.5" customHeight="1">
      <c r="A4" s="154" t="s">
        <v>540</v>
      </c>
      <c r="B4" s="154" t="s">
        <v>541</v>
      </c>
    </row>
    <row r="5" spans="1:5" ht="16.5" customHeight="1">
      <c r="A5" s="153" t="s">
        <v>575</v>
      </c>
      <c r="B5" s="153" t="s">
        <v>1385</v>
      </c>
    </row>
    <row r="6" spans="1:5" ht="16.5" customHeight="1">
      <c r="A6" s="154" t="s">
        <v>1392</v>
      </c>
      <c r="B6" s="154" t="s">
        <v>1393</v>
      </c>
    </row>
    <row r="7" spans="1:5" ht="16.5" customHeight="1"/>
    <row r="8" spans="1:5" ht="27.6">
      <c r="A8" s="168" t="s">
        <v>542</v>
      </c>
      <c r="B8" s="168"/>
      <c r="C8" s="168"/>
      <c r="D8" s="168"/>
      <c r="E8" s="168"/>
    </row>
    <row r="9" spans="1:5" ht="16.5" customHeight="1">
      <c r="A9" s="152" t="s">
        <v>543</v>
      </c>
      <c r="B9" s="152" t="s">
        <v>544</v>
      </c>
      <c r="C9" s="152" t="s">
        <v>545</v>
      </c>
      <c r="D9" s="152" t="s">
        <v>546</v>
      </c>
      <c r="E9" s="152" t="s">
        <v>547</v>
      </c>
    </row>
    <row r="10" spans="1:5" ht="16.5" customHeight="1">
      <c r="A10" s="153" t="s">
        <v>548</v>
      </c>
      <c r="B10" s="153" t="s">
        <v>549</v>
      </c>
      <c r="C10" s="153" t="s">
        <v>550</v>
      </c>
      <c r="D10" s="153" t="s">
        <v>551</v>
      </c>
      <c r="E10" s="153" t="s">
        <v>552</v>
      </c>
    </row>
    <row r="11" spans="1:5" ht="16.5" customHeight="1">
      <c r="A11" s="154" t="s">
        <v>27</v>
      </c>
      <c r="B11" s="154" t="s">
        <v>553</v>
      </c>
      <c r="C11" s="154" t="s">
        <v>554</v>
      </c>
      <c r="D11" s="154" t="s">
        <v>555</v>
      </c>
      <c r="E11" s="154" t="s">
        <v>556</v>
      </c>
    </row>
    <row r="12" spans="1:5" ht="16.5" customHeight="1">
      <c r="A12" s="153" t="s">
        <v>557</v>
      </c>
      <c r="B12" s="153" t="s">
        <v>558</v>
      </c>
      <c r="C12" s="153" t="s">
        <v>559</v>
      </c>
      <c r="D12" s="153" t="s">
        <v>560</v>
      </c>
      <c r="E12" s="153" t="s">
        <v>561</v>
      </c>
    </row>
    <row r="13" spans="1:5" ht="16.5" customHeight="1">
      <c r="A13" s="154" t="s">
        <v>562</v>
      </c>
      <c r="B13" s="154" t="s">
        <v>70</v>
      </c>
      <c r="C13" s="154" t="s">
        <v>563</v>
      </c>
      <c r="D13" s="154" t="s">
        <v>564</v>
      </c>
      <c r="E13" s="154" t="s">
        <v>565</v>
      </c>
    </row>
    <row r="14" spans="1:5" ht="16.5" customHeight="1">
      <c r="A14" s="153" t="s">
        <v>566</v>
      </c>
      <c r="B14" s="153" t="s">
        <v>567</v>
      </c>
      <c r="C14" s="153" t="s">
        <v>568</v>
      </c>
      <c r="D14" s="153" t="s">
        <v>569</v>
      </c>
      <c r="E14" s="153" t="s">
        <v>570</v>
      </c>
    </row>
    <row r="15" spans="1:5" ht="16.5" customHeight="1">
      <c r="A15" s="154" t="s">
        <v>571</v>
      </c>
      <c r="B15" s="154" t="s">
        <v>156</v>
      </c>
      <c r="C15" s="154" t="s">
        <v>572</v>
      </c>
      <c r="D15" s="154" t="s">
        <v>573</v>
      </c>
      <c r="E15" s="154" t="s">
        <v>574</v>
      </c>
    </row>
    <row r="16" spans="1:5" ht="16.5" customHeight="1">
      <c r="A16" s="153" t="s">
        <v>575</v>
      </c>
      <c r="B16" s="153" t="s">
        <v>576</v>
      </c>
      <c r="C16" s="153" t="s">
        <v>577</v>
      </c>
      <c r="D16" s="153" t="s">
        <v>578</v>
      </c>
      <c r="E16" s="153" t="s">
        <v>579</v>
      </c>
    </row>
    <row r="17" spans="1:6" ht="16.5" customHeight="1"/>
    <row r="18" spans="1:6" ht="27.6">
      <c r="A18" s="168" t="s">
        <v>580</v>
      </c>
      <c r="B18" s="168"/>
      <c r="C18" s="168"/>
      <c r="D18" s="168"/>
      <c r="E18" s="168"/>
      <c r="F18" s="168"/>
    </row>
    <row r="19" spans="1:6" ht="16.5" customHeight="1">
      <c r="A19" s="169" t="s">
        <v>581</v>
      </c>
      <c r="B19" s="169"/>
      <c r="C19" s="169"/>
      <c r="D19" s="169"/>
      <c r="E19" s="169"/>
      <c r="F19" s="169"/>
    </row>
    <row r="20" spans="1:6" ht="16.5" customHeight="1">
      <c r="A20" s="152" t="s">
        <v>582</v>
      </c>
      <c r="B20" s="152" t="s">
        <v>583</v>
      </c>
      <c r="C20" s="152" t="s">
        <v>584</v>
      </c>
      <c r="D20" s="152" t="s">
        <v>585</v>
      </c>
      <c r="E20" s="152" t="s">
        <v>546</v>
      </c>
      <c r="F20" s="152" t="s">
        <v>547</v>
      </c>
    </row>
    <row r="21" spans="1:6" ht="16.5" customHeight="1">
      <c r="A21" s="153" t="s">
        <v>78</v>
      </c>
      <c r="B21" s="153" t="s">
        <v>586</v>
      </c>
      <c r="C21" s="153" t="s">
        <v>587</v>
      </c>
      <c r="D21" s="153" t="s">
        <v>588</v>
      </c>
      <c r="E21" s="153" t="s">
        <v>589</v>
      </c>
      <c r="F21" s="153" t="s">
        <v>590</v>
      </c>
    </row>
    <row r="22" spans="1:6" ht="16.5" customHeight="1">
      <c r="A22" s="154" t="s">
        <v>39</v>
      </c>
      <c r="B22" s="154" t="s">
        <v>591</v>
      </c>
      <c r="C22" s="154" t="s">
        <v>592</v>
      </c>
      <c r="D22" s="154" t="s">
        <v>593</v>
      </c>
      <c r="E22" s="154" t="s">
        <v>594</v>
      </c>
      <c r="F22" s="154" t="s">
        <v>595</v>
      </c>
    </row>
    <row r="23" spans="1:6" ht="16.5" customHeight="1">
      <c r="A23" s="153" t="s">
        <v>101</v>
      </c>
      <c r="B23" s="153" t="s">
        <v>596</v>
      </c>
      <c r="C23" s="153" t="s">
        <v>597</v>
      </c>
      <c r="D23" s="153" t="s">
        <v>598</v>
      </c>
      <c r="E23" s="153" t="s">
        <v>599</v>
      </c>
      <c r="F23" s="153" t="s">
        <v>600</v>
      </c>
    </row>
    <row r="24" spans="1:6" ht="16.5" customHeight="1">
      <c r="A24" s="154" t="s">
        <v>29</v>
      </c>
      <c r="B24" s="154" t="s">
        <v>601</v>
      </c>
      <c r="C24" s="154" t="s">
        <v>602</v>
      </c>
      <c r="D24" s="154" t="s">
        <v>603</v>
      </c>
      <c r="E24" s="154" t="s">
        <v>604</v>
      </c>
      <c r="F24" s="154" t="s">
        <v>605</v>
      </c>
    </row>
    <row r="25" spans="1:6" ht="16.5" customHeight="1">
      <c r="A25" s="153" t="s">
        <v>107</v>
      </c>
      <c r="B25" s="153" t="s">
        <v>606</v>
      </c>
      <c r="C25" s="153" t="s">
        <v>607</v>
      </c>
      <c r="D25" s="153" t="s">
        <v>608</v>
      </c>
      <c r="E25" s="153" t="s">
        <v>609</v>
      </c>
      <c r="F25" s="153" t="s">
        <v>610</v>
      </c>
    </row>
    <row r="26" spans="1:6" ht="16.5" customHeight="1"/>
    <row r="27" spans="1:6" ht="27.6">
      <c r="A27" s="168" t="s">
        <v>611</v>
      </c>
      <c r="B27" s="168"/>
      <c r="C27" s="168"/>
      <c r="D27" s="168"/>
      <c r="E27" s="168"/>
    </row>
    <row r="28" spans="1:6" ht="16.5" customHeight="1">
      <c r="A28" s="152" t="s">
        <v>612</v>
      </c>
      <c r="B28" s="152" t="s">
        <v>544</v>
      </c>
      <c r="C28" s="152" t="s">
        <v>613</v>
      </c>
      <c r="D28" s="152" t="s">
        <v>614</v>
      </c>
      <c r="E28" s="152" t="s">
        <v>547</v>
      </c>
    </row>
    <row r="29" spans="1:6" ht="16.5" customHeight="1">
      <c r="A29" s="153" t="s">
        <v>93</v>
      </c>
      <c r="B29" s="153" t="s">
        <v>615</v>
      </c>
      <c r="C29" s="153" t="s">
        <v>616</v>
      </c>
      <c r="D29" s="153" t="s">
        <v>617</v>
      </c>
      <c r="E29" s="153" t="s">
        <v>618</v>
      </c>
    </row>
    <row r="30" spans="1:6">
      <c r="A30" s="154" t="s">
        <v>35</v>
      </c>
      <c r="B30" s="154" t="s">
        <v>619</v>
      </c>
      <c r="C30" s="154" t="s">
        <v>620</v>
      </c>
      <c r="D30" s="154" t="s">
        <v>621</v>
      </c>
      <c r="E30" s="154" t="s">
        <v>622</v>
      </c>
    </row>
    <row r="31" spans="1:6" ht="16.5" customHeight="1">
      <c r="A31" s="153" t="s">
        <v>28</v>
      </c>
      <c r="B31" s="153" t="s">
        <v>623</v>
      </c>
      <c r="C31" s="153" t="s">
        <v>624</v>
      </c>
      <c r="D31" s="153" t="s">
        <v>625</v>
      </c>
      <c r="E31" s="153" t="s">
        <v>626</v>
      </c>
    </row>
    <row r="32" spans="1:6" ht="16.5" customHeight="1">
      <c r="A32" s="154" t="s">
        <v>58</v>
      </c>
      <c r="B32" s="154" t="s">
        <v>627</v>
      </c>
      <c r="C32" s="154" t="s">
        <v>628</v>
      </c>
      <c r="D32" s="154" t="s">
        <v>629</v>
      </c>
      <c r="E32" s="154" t="s">
        <v>630</v>
      </c>
    </row>
    <row r="33" spans="1:5" ht="16.5" customHeight="1">
      <c r="A33" s="153" t="s">
        <v>48</v>
      </c>
      <c r="B33" s="153" t="s">
        <v>596</v>
      </c>
      <c r="C33" s="153" t="s">
        <v>631</v>
      </c>
      <c r="D33" s="153" t="s">
        <v>632</v>
      </c>
      <c r="E33" s="153" t="s">
        <v>633</v>
      </c>
    </row>
    <row r="34" spans="1:5" ht="16.5" customHeight="1"/>
    <row r="35" spans="1:5" ht="27.6">
      <c r="A35" s="168" t="s">
        <v>634</v>
      </c>
      <c r="B35" s="168"/>
      <c r="C35" s="168"/>
      <c r="D35" s="168"/>
    </row>
    <row r="36" spans="1:5" ht="16.5" customHeight="1">
      <c r="A36" s="152" t="s">
        <v>1215</v>
      </c>
      <c r="B36" s="152" t="s">
        <v>1216</v>
      </c>
      <c r="C36" s="152" t="s">
        <v>1217</v>
      </c>
      <c r="D36" s="152" t="s">
        <v>1218</v>
      </c>
    </row>
    <row r="37" spans="1:5" ht="16.5" customHeight="1">
      <c r="A37" s="153" t="s">
        <v>78</v>
      </c>
      <c r="B37" s="153" t="s">
        <v>1219</v>
      </c>
      <c r="C37" s="153" t="s">
        <v>1224</v>
      </c>
      <c r="D37" s="153" t="s">
        <v>1225</v>
      </c>
    </row>
    <row r="38" spans="1:5" ht="16.5" customHeight="1">
      <c r="A38" s="154" t="s">
        <v>39</v>
      </c>
      <c r="B38" s="154" t="s">
        <v>1220</v>
      </c>
      <c r="C38" s="154" t="s">
        <v>1226</v>
      </c>
      <c r="D38" s="154" t="s">
        <v>1227</v>
      </c>
    </row>
    <row r="39" spans="1:5" ht="16.5" customHeight="1">
      <c r="A39" s="153" t="s">
        <v>101</v>
      </c>
      <c r="B39" s="153" t="s">
        <v>1221</v>
      </c>
      <c r="C39" s="153" t="s">
        <v>1228</v>
      </c>
      <c r="D39" s="153" t="s">
        <v>1229</v>
      </c>
    </row>
    <row r="40" spans="1:5" ht="16.5" customHeight="1">
      <c r="A40" s="154" t="s">
        <v>29</v>
      </c>
      <c r="B40" s="154" t="s">
        <v>1222</v>
      </c>
      <c r="C40" s="154" t="s">
        <v>1230</v>
      </c>
      <c r="D40" s="154" t="s">
        <v>1231</v>
      </c>
    </row>
    <row r="41" spans="1:5" ht="16.5" customHeight="1">
      <c r="A41" s="153" t="s">
        <v>107</v>
      </c>
      <c r="B41" s="153" t="s">
        <v>1223</v>
      </c>
      <c r="C41" s="153" t="s">
        <v>1232</v>
      </c>
      <c r="D41" s="153" t="s">
        <v>1233</v>
      </c>
    </row>
    <row r="42" spans="1:5" ht="16.5" customHeight="1"/>
    <row r="43" spans="1:5" ht="27.6">
      <c r="A43" s="168" t="s">
        <v>635</v>
      </c>
      <c r="B43" s="168"/>
      <c r="C43" s="168"/>
      <c r="D43" s="168"/>
      <c r="E43" s="168"/>
    </row>
    <row r="44" spans="1:5" ht="16.5" customHeight="1">
      <c r="A44" s="152" t="s">
        <v>582</v>
      </c>
      <c r="B44" s="152" t="s">
        <v>583</v>
      </c>
      <c r="C44" s="152" t="s">
        <v>636</v>
      </c>
      <c r="D44" s="152" t="s">
        <v>546</v>
      </c>
      <c r="E44" s="152" t="s">
        <v>637</v>
      </c>
    </row>
    <row r="45" spans="1:5" ht="16.5" customHeight="1">
      <c r="A45" s="153" t="s">
        <v>78</v>
      </c>
      <c r="B45" s="153" t="s">
        <v>638</v>
      </c>
      <c r="C45" s="153" t="s">
        <v>639</v>
      </c>
      <c r="D45" s="153" t="s">
        <v>640</v>
      </c>
      <c r="E45" s="153" t="s">
        <v>641</v>
      </c>
    </row>
    <row r="46" spans="1:5" ht="16.5" customHeight="1">
      <c r="A46" s="154" t="s">
        <v>39</v>
      </c>
      <c r="B46" s="154" t="s">
        <v>642</v>
      </c>
      <c r="C46" s="154" t="s">
        <v>643</v>
      </c>
      <c r="D46" s="154" t="s">
        <v>644</v>
      </c>
      <c r="E46" s="154" t="s">
        <v>645</v>
      </c>
    </row>
    <row r="47" spans="1:5" ht="16.5" customHeight="1">
      <c r="A47" s="153" t="s">
        <v>101</v>
      </c>
      <c r="B47" s="153" t="s">
        <v>646</v>
      </c>
      <c r="C47" s="153" t="s">
        <v>647</v>
      </c>
      <c r="D47" s="153" t="s">
        <v>648</v>
      </c>
      <c r="E47" s="153" t="s">
        <v>649</v>
      </c>
    </row>
    <row r="48" spans="1:5" ht="16.5" customHeight="1">
      <c r="A48" s="154" t="s">
        <v>29</v>
      </c>
      <c r="B48" s="154" t="s">
        <v>650</v>
      </c>
      <c r="C48" s="154" t="s">
        <v>651</v>
      </c>
      <c r="D48" s="154" t="s">
        <v>652</v>
      </c>
      <c r="E48" s="154" t="s">
        <v>653</v>
      </c>
    </row>
    <row r="49" spans="1:5" ht="16.5" customHeight="1">
      <c r="A49" s="153" t="s">
        <v>107</v>
      </c>
      <c r="B49" s="153" t="s">
        <v>654</v>
      </c>
      <c r="C49" s="153" t="s">
        <v>655</v>
      </c>
      <c r="D49" s="153" t="s">
        <v>656</v>
      </c>
      <c r="E49" s="153" t="s">
        <v>653</v>
      </c>
    </row>
    <row r="50" spans="1:5" ht="16.5" customHeight="1"/>
    <row r="51" spans="1:5" ht="27.6">
      <c r="A51" s="170" t="s">
        <v>657</v>
      </c>
      <c r="B51" s="170"/>
      <c r="C51" s="170"/>
      <c r="D51" s="170"/>
      <c r="E51" s="170"/>
    </row>
    <row r="52" spans="1:5" ht="16.5" customHeight="1">
      <c r="A52" s="152" t="s">
        <v>582</v>
      </c>
      <c r="B52" s="152" t="s">
        <v>583</v>
      </c>
      <c r="C52" s="152" t="s">
        <v>658</v>
      </c>
      <c r="D52" s="152" t="s">
        <v>546</v>
      </c>
      <c r="E52" s="152" t="s">
        <v>637</v>
      </c>
    </row>
    <row r="53" spans="1:5" ht="16.5" customHeight="1">
      <c r="A53" s="153" t="s">
        <v>78</v>
      </c>
      <c r="B53" s="153" t="s">
        <v>659</v>
      </c>
      <c r="C53" s="153" t="s">
        <v>660</v>
      </c>
      <c r="D53" s="153" t="s">
        <v>661</v>
      </c>
      <c r="E53" s="153" t="s">
        <v>641</v>
      </c>
    </row>
    <row r="54" spans="1:5" ht="16.5" customHeight="1">
      <c r="A54" s="154" t="s">
        <v>39</v>
      </c>
      <c r="B54" s="154" t="s">
        <v>662</v>
      </c>
      <c r="C54" s="154" t="s">
        <v>663</v>
      </c>
      <c r="D54" s="154" t="s">
        <v>664</v>
      </c>
      <c r="E54" s="154" t="s">
        <v>641</v>
      </c>
    </row>
    <row r="55" spans="1:5" ht="16.5" customHeight="1">
      <c r="A55" s="153" t="s">
        <v>101</v>
      </c>
      <c r="B55" s="153" t="s">
        <v>665</v>
      </c>
      <c r="C55" s="153" t="s">
        <v>666</v>
      </c>
      <c r="D55" s="153" t="s">
        <v>667</v>
      </c>
      <c r="E55" s="153" t="s">
        <v>641</v>
      </c>
    </row>
    <row r="56" spans="1:5" ht="16.5" customHeight="1">
      <c r="A56" s="154" t="s">
        <v>29</v>
      </c>
      <c r="B56" s="154" t="s">
        <v>668</v>
      </c>
      <c r="C56" s="154" t="s">
        <v>669</v>
      </c>
      <c r="D56" s="154" t="s">
        <v>670</v>
      </c>
      <c r="E56" s="154" t="s">
        <v>671</v>
      </c>
    </row>
    <row r="57" spans="1:5" ht="16.5" customHeight="1">
      <c r="A57" s="153" t="s">
        <v>107</v>
      </c>
      <c r="B57" s="153" t="s">
        <v>672</v>
      </c>
      <c r="C57" s="153" t="s">
        <v>673</v>
      </c>
      <c r="D57" s="153" t="s">
        <v>674</v>
      </c>
      <c r="E57" s="153" t="s">
        <v>671</v>
      </c>
    </row>
    <row r="58" spans="1:5" ht="16.5" customHeight="1"/>
    <row r="59" spans="1:5" ht="27.6">
      <c r="A59" s="168" t="s">
        <v>675</v>
      </c>
      <c r="B59" s="168"/>
      <c r="C59" s="168"/>
      <c r="D59" s="168"/>
    </row>
    <row r="60" spans="1:5" ht="16.5" customHeight="1">
      <c r="A60" s="156" t="s">
        <v>676</v>
      </c>
      <c r="B60" s="156"/>
      <c r="C60" s="156"/>
      <c r="D60" s="156"/>
    </row>
    <row r="61" spans="1:5" ht="16.5" customHeight="1">
      <c r="A61" s="152" t="s">
        <v>582</v>
      </c>
      <c r="B61" s="152" t="s">
        <v>583</v>
      </c>
      <c r="C61" s="152" t="s">
        <v>677</v>
      </c>
      <c r="D61" s="152" t="s">
        <v>546</v>
      </c>
    </row>
    <row r="62" spans="1:5" ht="16.5" customHeight="1">
      <c r="A62" s="153" t="s">
        <v>78</v>
      </c>
      <c r="B62" s="153" t="s">
        <v>678</v>
      </c>
      <c r="C62" s="153" t="s">
        <v>587</v>
      </c>
      <c r="D62" s="153" t="s">
        <v>679</v>
      </c>
    </row>
    <row r="63" spans="1:5" ht="16.5" customHeight="1">
      <c r="A63" s="154" t="s">
        <v>39</v>
      </c>
      <c r="B63" s="154" t="s">
        <v>680</v>
      </c>
      <c r="C63" s="154" t="s">
        <v>592</v>
      </c>
      <c r="D63" s="154" t="s">
        <v>681</v>
      </c>
    </row>
    <row r="64" spans="1:5" ht="16.5" customHeight="1">
      <c r="A64" s="153" t="s">
        <v>101</v>
      </c>
      <c r="B64" s="153" t="s">
        <v>596</v>
      </c>
      <c r="C64" s="153" t="s">
        <v>597</v>
      </c>
      <c r="D64" s="153" t="s">
        <v>682</v>
      </c>
    </row>
    <row r="65" spans="1:4" ht="16.5" customHeight="1">
      <c r="A65" s="154" t="s">
        <v>29</v>
      </c>
      <c r="B65" s="154" t="s">
        <v>601</v>
      </c>
      <c r="C65" s="154" t="s">
        <v>602</v>
      </c>
      <c r="D65" s="154" t="s">
        <v>683</v>
      </c>
    </row>
    <row r="66" spans="1:4" ht="16.5" customHeight="1">
      <c r="A66" s="153" t="s">
        <v>107</v>
      </c>
      <c r="B66" s="153" t="s">
        <v>684</v>
      </c>
      <c r="C66" s="153" t="s">
        <v>607</v>
      </c>
      <c r="D66" s="153" t="s">
        <v>685</v>
      </c>
    </row>
    <row r="67" spans="1:4" ht="16.5" customHeight="1"/>
    <row r="69" spans="1:4" ht="16.5" customHeight="1"/>
    <row r="70" spans="1:4" ht="16.5" customHeight="1"/>
    <row r="71" spans="1:4" ht="16.5" customHeight="1"/>
    <row r="72" spans="1:4" ht="16.5" customHeight="1"/>
    <row r="77" spans="1:4" ht="16.5" customHeight="1"/>
    <row r="78" spans="1:4" ht="16.5" customHeight="1"/>
    <row r="79" spans="1:4" ht="16.5" customHeight="1"/>
    <row r="80" spans="1:4" ht="16.5" customHeight="1"/>
    <row r="81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2" ht="16.5" customHeight="1"/>
    <row r="93" ht="16.5" customHeight="1"/>
    <row r="94" ht="16.5" customHeight="1"/>
    <row r="95" ht="16.5" customHeight="1"/>
    <row r="96" ht="16.5" customHeight="1"/>
  </sheetData>
  <mergeCells count="9">
    <mergeCell ref="A59:D59"/>
    <mergeCell ref="A27:E27"/>
    <mergeCell ref="A8:E8"/>
    <mergeCell ref="A1:B1"/>
    <mergeCell ref="A19:F19"/>
    <mergeCell ref="A18:F18"/>
    <mergeCell ref="A51:E51"/>
    <mergeCell ref="A43:E43"/>
    <mergeCell ref="A35:D35"/>
  </mergeCells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9124AE-9F37-4523-B531-45DFE8D83246}">
  <sheetPr>
    <tabColor theme="9" tint="0.79998168889431442"/>
  </sheetPr>
  <dimension ref="A1:E30"/>
  <sheetViews>
    <sheetView zoomScale="85" zoomScaleNormal="85" workbookViewId="0">
      <selection activeCell="I23" sqref="I23"/>
    </sheetView>
  </sheetViews>
  <sheetFormatPr defaultRowHeight="17.399999999999999"/>
  <cols>
    <col min="1" max="1" width="19.3984375" bestFit="1" customWidth="1"/>
    <col min="2" max="2" width="9.8984375" bestFit="1" customWidth="1"/>
    <col min="3" max="3" width="10.5" bestFit="1" customWidth="1"/>
    <col min="4" max="4" width="11.19921875" bestFit="1" customWidth="1"/>
    <col min="5" max="5" width="32.09765625" bestFit="1" customWidth="1"/>
    <col min="8" max="8" width="11.09765625" bestFit="1" customWidth="1"/>
    <col min="9" max="9" width="13" bestFit="1" customWidth="1"/>
    <col min="10" max="11" width="21.5" customWidth="1"/>
    <col min="12" max="12" width="35.8984375" bestFit="1" customWidth="1"/>
    <col min="13" max="15" width="21.5" customWidth="1"/>
  </cols>
  <sheetData>
    <row r="1" spans="1:5" ht="27.6">
      <c r="A1" s="168" t="s">
        <v>1375</v>
      </c>
      <c r="B1" s="168"/>
      <c r="C1" s="168"/>
      <c r="D1" s="168"/>
      <c r="E1" s="168"/>
    </row>
    <row r="2" spans="1:5" ht="35.4" customHeight="1">
      <c r="A2" s="152" t="s">
        <v>686</v>
      </c>
      <c r="B2" s="152" t="s">
        <v>687</v>
      </c>
      <c r="C2" s="152" t="s">
        <v>688</v>
      </c>
      <c r="D2" s="152" t="s">
        <v>689</v>
      </c>
      <c r="E2" s="152" t="s">
        <v>690</v>
      </c>
    </row>
    <row r="3" spans="1:5">
      <c r="A3" s="153" t="s">
        <v>691</v>
      </c>
      <c r="B3" s="153" t="s">
        <v>692</v>
      </c>
      <c r="C3" s="153" t="s">
        <v>693</v>
      </c>
      <c r="D3" s="153" t="s">
        <v>694</v>
      </c>
      <c r="E3" s="153" t="s">
        <v>695</v>
      </c>
    </row>
    <row r="4" spans="1:5">
      <c r="A4" s="154" t="s">
        <v>696</v>
      </c>
      <c r="B4" s="154" t="s">
        <v>692</v>
      </c>
      <c r="C4" s="154" t="s">
        <v>693</v>
      </c>
      <c r="D4" s="154" t="s">
        <v>697</v>
      </c>
      <c r="E4" s="154" t="s">
        <v>695</v>
      </c>
    </row>
    <row r="5" spans="1:5">
      <c r="A5" s="153" t="s">
        <v>698</v>
      </c>
      <c r="B5" s="153" t="s">
        <v>692</v>
      </c>
      <c r="C5" s="153" t="s">
        <v>699</v>
      </c>
      <c r="D5" s="153" t="s">
        <v>694</v>
      </c>
      <c r="E5" s="153" t="s">
        <v>700</v>
      </c>
    </row>
    <row r="6" spans="1:5">
      <c r="A6" s="154" t="s">
        <v>701</v>
      </c>
      <c r="B6" s="154" t="s">
        <v>692</v>
      </c>
      <c r="C6" s="154" t="s">
        <v>699</v>
      </c>
      <c r="D6" s="154" t="s">
        <v>697</v>
      </c>
      <c r="E6" s="154" t="s">
        <v>700</v>
      </c>
    </row>
    <row r="7" spans="1:5">
      <c r="A7" s="153" t="s">
        <v>702</v>
      </c>
      <c r="B7" s="153" t="s">
        <v>692</v>
      </c>
      <c r="C7" s="153" t="s">
        <v>699</v>
      </c>
      <c r="D7" s="153" t="s">
        <v>703</v>
      </c>
      <c r="E7" s="153" t="s">
        <v>704</v>
      </c>
    </row>
    <row r="8" spans="1:5">
      <c r="A8" s="154" t="s">
        <v>705</v>
      </c>
      <c r="B8" s="154" t="s">
        <v>706</v>
      </c>
      <c r="C8" s="154" t="s">
        <v>693</v>
      </c>
      <c r="D8" s="154" t="s">
        <v>694</v>
      </c>
      <c r="E8" s="154" t="s">
        <v>707</v>
      </c>
    </row>
    <row r="9" spans="1:5">
      <c r="A9" s="153" t="s">
        <v>708</v>
      </c>
      <c r="B9" s="153" t="s">
        <v>706</v>
      </c>
      <c r="C9" s="153" t="s">
        <v>693</v>
      </c>
      <c r="D9" s="153" t="s">
        <v>697</v>
      </c>
      <c r="E9" s="153" t="s">
        <v>707</v>
      </c>
    </row>
    <row r="10" spans="1:5">
      <c r="A10" s="154" t="s">
        <v>709</v>
      </c>
      <c r="B10" s="154" t="s">
        <v>706</v>
      </c>
      <c r="C10" s="154" t="s">
        <v>699</v>
      </c>
      <c r="D10" s="154" t="s">
        <v>694</v>
      </c>
      <c r="E10" s="154" t="s">
        <v>710</v>
      </c>
    </row>
    <row r="11" spans="1:5">
      <c r="A11" s="153" t="s">
        <v>711</v>
      </c>
      <c r="B11" s="153" t="s">
        <v>706</v>
      </c>
      <c r="C11" s="153" t="s">
        <v>699</v>
      </c>
      <c r="D11" s="153" t="s">
        <v>697</v>
      </c>
      <c r="E11" s="153" t="s">
        <v>710</v>
      </c>
    </row>
    <row r="12" spans="1:5">
      <c r="A12" s="154" t="s">
        <v>712</v>
      </c>
      <c r="B12" s="154" t="s">
        <v>706</v>
      </c>
      <c r="C12" s="154" t="s">
        <v>699</v>
      </c>
      <c r="D12" s="154" t="s">
        <v>703</v>
      </c>
      <c r="E12" s="154" t="s">
        <v>713</v>
      </c>
    </row>
    <row r="13" spans="1:5">
      <c r="A13" s="153" t="s">
        <v>714</v>
      </c>
      <c r="B13" s="153" t="s">
        <v>715</v>
      </c>
      <c r="C13" s="153" t="s">
        <v>693</v>
      </c>
      <c r="D13" s="153" t="s">
        <v>694</v>
      </c>
      <c r="E13" s="153" t="s">
        <v>716</v>
      </c>
    </row>
    <row r="14" spans="1:5">
      <c r="A14" s="154" t="s">
        <v>717</v>
      </c>
      <c r="B14" s="154" t="s">
        <v>715</v>
      </c>
      <c r="C14" s="154" t="s">
        <v>693</v>
      </c>
      <c r="D14" s="154" t="s">
        <v>697</v>
      </c>
      <c r="E14" s="154" t="s">
        <v>716</v>
      </c>
    </row>
    <row r="15" spans="1:5">
      <c r="A15" s="153" t="s">
        <v>718</v>
      </c>
      <c r="B15" s="153" t="s">
        <v>715</v>
      </c>
      <c r="C15" s="153" t="s">
        <v>699</v>
      </c>
      <c r="D15" s="153" t="s">
        <v>694</v>
      </c>
      <c r="E15" s="153" t="s">
        <v>716</v>
      </c>
    </row>
    <row r="16" spans="1:5">
      <c r="A16" s="154" t="s">
        <v>719</v>
      </c>
      <c r="B16" s="154" t="s">
        <v>715</v>
      </c>
      <c r="C16" s="154" t="s">
        <v>699</v>
      </c>
      <c r="D16" s="154" t="s">
        <v>697</v>
      </c>
      <c r="E16" s="154" t="s">
        <v>716</v>
      </c>
    </row>
    <row r="17" spans="1:5">
      <c r="A17" s="153" t="s">
        <v>720</v>
      </c>
      <c r="B17" s="153" t="s">
        <v>715</v>
      </c>
      <c r="C17" s="153" t="s">
        <v>699</v>
      </c>
      <c r="D17" s="153" t="s">
        <v>703</v>
      </c>
      <c r="E17" s="153" t="s">
        <v>721</v>
      </c>
    </row>
    <row r="18" spans="1:5">
      <c r="A18" s="154" t="s">
        <v>722</v>
      </c>
      <c r="B18" s="154" t="s">
        <v>723</v>
      </c>
      <c r="C18" s="154" t="s">
        <v>693</v>
      </c>
      <c r="D18" s="154" t="s">
        <v>694</v>
      </c>
      <c r="E18" s="154" t="s">
        <v>724</v>
      </c>
    </row>
    <row r="19" spans="1:5">
      <c r="A19" s="153" t="s">
        <v>725</v>
      </c>
      <c r="B19" s="153" t="s">
        <v>723</v>
      </c>
      <c r="C19" s="153" t="s">
        <v>693</v>
      </c>
      <c r="D19" s="153" t="s">
        <v>697</v>
      </c>
      <c r="E19" s="153" t="s">
        <v>724</v>
      </c>
    </row>
    <row r="20" spans="1:5">
      <c r="A20" s="154" t="s">
        <v>726</v>
      </c>
      <c r="B20" s="154" t="s">
        <v>723</v>
      </c>
      <c r="C20" s="154" t="s">
        <v>699</v>
      </c>
      <c r="D20" s="154" t="s">
        <v>697</v>
      </c>
      <c r="E20" s="154" t="s">
        <v>724</v>
      </c>
    </row>
    <row r="21" spans="1:5">
      <c r="A21" s="153" t="s">
        <v>727</v>
      </c>
      <c r="B21" s="153" t="s">
        <v>728</v>
      </c>
      <c r="C21" s="153" t="s">
        <v>693</v>
      </c>
      <c r="D21" s="153" t="s">
        <v>694</v>
      </c>
      <c r="E21" s="153" t="s">
        <v>729</v>
      </c>
    </row>
    <row r="22" spans="1:5">
      <c r="A22" s="154" t="s">
        <v>730</v>
      </c>
      <c r="B22" s="154" t="s">
        <v>728</v>
      </c>
      <c r="C22" s="154" t="s">
        <v>693</v>
      </c>
      <c r="D22" s="154" t="s">
        <v>697</v>
      </c>
      <c r="E22" s="154" t="s">
        <v>729</v>
      </c>
    </row>
    <row r="23" spans="1:5">
      <c r="A23" s="153" t="s">
        <v>731</v>
      </c>
      <c r="B23" s="153" t="s">
        <v>728</v>
      </c>
      <c r="C23" s="153" t="s">
        <v>699</v>
      </c>
      <c r="D23" s="153" t="s">
        <v>694</v>
      </c>
      <c r="E23" s="153" t="s">
        <v>732</v>
      </c>
    </row>
    <row r="24" spans="1:5">
      <c r="A24" s="154" t="s">
        <v>733</v>
      </c>
      <c r="B24" s="154" t="s">
        <v>728</v>
      </c>
      <c r="C24" s="154" t="s">
        <v>699</v>
      </c>
      <c r="D24" s="154" t="s">
        <v>697</v>
      </c>
      <c r="E24" s="154" t="s">
        <v>732</v>
      </c>
    </row>
    <row r="25" spans="1:5">
      <c r="A25" s="153" t="s">
        <v>734</v>
      </c>
      <c r="B25" s="153" t="s">
        <v>728</v>
      </c>
      <c r="C25" s="153" t="s">
        <v>699</v>
      </c>
      <c r="D25" s="153" t="s">
        <v>703</v>
      </c>
      <c r="E25" s="153" t="s">
        <v>735</v>
      </c>
    </row>
    <row r="26" spans="1:5">
      <c r="A26" s="154" t="s">
        <v>736</v>
      </c>
      <c r="B26" s="154" t="s">
        <v>737</v>
      </c>
      <c r="C26" s="154" t="s">
        <v>693</v>
      </c>
      <c r="D26" s="154" t="s">
        <v>694</v>
      </c>
      <c r="E26" s="154" t="s">
        <v>738</v>
      </c>
    </row>
    <row r="27" spans="1:5">
      <c r="A27" s="153" t="s">
        <v>739</v>
      </c>
      <c r="B27" s="153" t="s">
        <v>737</v>
      </c>
      <c r="C27" s="153" t="s">
        <v>693</v>
      </c>
      <c r="D27" s="153" t="s">
        <v>697</v>
      </c>
      <c r="E27" s="153" t="s">
        <v>738</v>
      </c>
    </row>
    <row r="28" spans="1:5">
      <c r="A28" s="154" t="s">
        <v>740</v>
      </c>
      <c r="B28" s="154" t="s">
        <v>737</v>
      </c>
      <c r="C28" s="154" t="s">
        <v>699</v>
      </c>
      <c r="D28" s="154" t="s">
        <v>694</v>
      </c>
      <c r="E28" s="154" t="s">
        <v>738</v>
      </c>
    </row>
    <row r="29" spans="1:5">
      <c r="A29" s="153" t="s">
        <v>741</v>
      </c>
      <c r="B29" s="153" t="s">
        <v>737</v>
      </c>
      <c r="C29" s="153" t="s">
        <v>699</v>
      </c>
      <c r="D29" s="153" t="s">
        <v>697</v>
      </c>
      <c r="E29" s="153" t="s">
        <v>738</v>
      </c>
    </row>
    <row r="30" spans="1:5">
      <c r="A30" s="154" t="s">
        <v>742</v>
      </c>
      <c r="B30" s="154" t="s">
        <v>737</v>
      </c>
      <c r="C30" s="154" t="s">
        <v>699</v>
      </c>
      <c r="D30" s="154" t="s">
        <v>703</v>
      </c>
      <c r="E30" s="154" t="s">
        <v>743</v>
      </c>
    </row>
  </sheetData>
  <mergeCells count="1">
    <mergeCell ref="A1:E1"/>
  </mergeCells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DC504B-C0F9-4EE9-A82B-BE88826418A6}">
  <sheetPr>
    <tabColor theme="9" tint="0.79998168889431442"/>
  </sheetPr>
  <dimension ref="A1:E6"/>
  <sheetViews>
    <sheetView workbookViewId="0">
      <selection activeCell="D18" sqref="D18"/>
    </sheetView>
  </sheetViews>
  <sheetFormatPr defaultRowHeight="17.399999999999999"/>
  <cols>
    <col min="1" max="1" width="16.19921875" bestFit="1" customWidth="1"/>
    <col min="2" max="2" width="20.296875" bestFit="1" customWidth="1"/>
    <col min="3" max="3" width="27.19921875" bestFit="1" customWidth="1"/>
    <col min="4" max="4" width="39.09765625" bestFit="1" customWidth="1"/>
    <col min="5" max="5" width="68.19921875" bestFit="1" customWidth="1"/>
  </cols>
  <sheetData>
    <row r="1" spans="1:5" ht="28.2" customHeight="1">
      <c r="A1" s="168" t="s">
        <v>1315</v>
      </c>
      <c r="B1" s="168"/>
      <c r="C1" s="168"/>
      <c r="D1" s="168"/>
    </row>
    <row r="2" spans="1:5" ht="18" customHeight="1">
      <c r="A2" s="152" t="s">
        <v>418</v>
      </c>
      <c r="B2" s="152" t="s">
        <v>1262</v>
      </c>
      <c r="C2" s="152" t="s">
        <v>1300</v>
      </c>
      <c r="D2" s="152" t="s">
        <v>1301</v>
      </c>
    </row>
    <row r="3" spans="1:5">
      <c r="A3" s="154" t="s">
        <v>1302</v>
      </c>
      <c r="B3" s="154" t="s">
        <v>1303</v>
      </c>
      <c r="C3" s="154" t="s">
        <v>1304</v>
      </c>
      <c r="D3" s="154" t="s">
        <v>1305</v>
      </c>
    </row>
    <row r="4" spans="1:5" ht="18" thickBot="1">
      <c r="A4" s="154"/>
      <c r="B4" s="154" t="s">
        <v>1306</v>
      </c>
      <c r="C4" s="154" t="s">
        <v>1307</v>
      </c>
      <c r="D4" s="154" t="s">
        <v>1308</v>
      </c>
    </row>
    <row r="5" spans="1:5" ht="18" thickBot="1">
      <c r="A5" s="153" t="s">
        <v>1346</v>
      </c>
      <c r="B5" s="153" t="s">
        <v>1309</v>
      </c>
      <c r="C5" s="153" t="s">
        <v>1310</v>
      </c>
      <c r="D5" s="153" t="s">
        <v>1311</v>
      </c>
      <c r="E5" s="155"/>
    </row>
    <row r="6" spans="1:5">
      <c r="A6" s="153"/>
      <c r="B6" s="153" t="s">
        <v>1312</v>
      </c>
      <c r="C6" s="153" t="s">
        <v>1313</v>
      </c>
      <c r="D6" s="153" t="s">
        <v>1314</v>
      </c>
    </row>
  </sheetData>
  <mergeCells count="1">
    <mergeCell ref="A1:D1"/>
  </mergeCells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748DBD-2B93-47B9-B473-A683F463CCBB}">
  <sheetPr>
    <tabColor theme="9" tint="0.79998168889431442"/>
  </sheetPr>
  <dimension ref="A1:G92"/>
  <sheetViews>
    <sheetView zoomScale="85" zoomScaleNormal="85" workbookViewId="0">
      <selection activeCell="D4" sqref="D4:G24"/>
    </sheetView>
  </sheetViews>
  <sheetFormatPr defaultColWidth="9" defaultRowHeight="17.399999999999999"/>
  <cols>
    <col min="1" max="1" width="11.19921875" style="74" customWidth="1"/>
    <col min="2" max="2" width="37.8984375" style="74" customWidth="1"/>
    <col min="3" max="3" width="13.09765625" style="74" customWidth="1"/>
    <col min="4" max="4" width="27.8984375" style="74" bestFit="1" customWidth="1"/>
    <col min="5" max="5" width="17" style="74" bestFit="1" customWidth="1"/>
    <col min="6" max="6" width="17.5" style="74" bestFit="1" customWidth="1"/>
    <col min="7" max="7" width="36.296875" style="74" bestFit="1" customWidth="1"/>
    <col min="8" max="8" width="20.09765625" style="74" customWidth="1"/>
    <col min="9" max="9" width="11.8984375" style="74" bestFit="1" customWidth="1"/>
    <col min="10" max="10" width="73" style="74" customWidth="1"/>
    <col min="11" max="11" width="78.19921875" style="74" bestFit="1" customWidth="1"/>
    <col min="12" max="12" width="39.19921875" style="74" bestFit="1" customWidth="1"/>
    <col min="13" max="16384" width="9" style="74"/>
  </cols>
  <sheetData>
    <row r="1" spans="1:7" ht="27.6">
      <c r="A1" s="78" t="s">
        <v>744</v>
      </c>
    </row>
    <row r="2" spans="1:7" ht="16.5" customHeight="1">
      <c r="A2" s="74" t="s">
        <v>745</v>
      </c>
    </row>
    <row r="3" spans="1:7" ht="16.5" customHeight="1"/>
    <row r="4" spans="1:7" ht="27.6">
      <c r="A4" s="171" t="s">
        <v>746</v>
      </c>
      <c r="B4" s="171"/>
      <c r="D4" s="168" t="s">
        <v>1236</v>
      </c>
      <c r="E4" s="168"/>
      <c r="F4" s="168"/>
      <c r="G4" s="168"/>
    </row>
    <row r="5" spans="1:7" ht="16.5" customHeight="1">
      <c r="A5" s="152" t="s">
        <v>537</v>
      </c>
      <c r="B5" s="152" t="s">
        <v>538</v>
      </c>
      <c r="D5" s="152" t="s">
        <v>1347</v>
      </c>
      <c r="E5" s="152" t="s">
        <v>1348</v>
      </c>
      <c r="F5" s="152" t="s">
        <v>1349</v>
      </c>
      <c r="G5" s="152" t="s">
        <v>1350</v>
      </c>
    </row>
    <row r="6" spans="1:7" ht="16.5" customHeight="1">
      <c r="A6" s="153" t="s">
        <v>751</v>
      </c>
      <c r="B6" s="153" t="s">
        <v>752</v>
      </c>
      <c r="D6" s="153" t="s">
        <v>1376</v>
      </c>
      <c r="E6" s="153" t="s">
        <v>753</v>
      </c>
      <c r="F6" s="153" t="s">
        <v>754</v>
      </c>
      <c r="G6" s="153" t="s">
        <v>1351</v>
      </c>
    </row>
    <row r="7" spans="1:7" ht="16.5" customHeight="1">
      <c r="A7" s="154" t="s">
        <v>755</v>
      </c>
      <c r="B7" s="154" t="s">
        <v>756</v>
      </c>
      <c r="D7" s="154"/>
      <c r="E7" s="154" t="s">
        <v>1352</v>
      </c>
      <c r="F7" s="154" t="s">
        <v>1353</v>
      </c>
      <c r="G7" s="154" t="s">
        <v>1354</v>
      </c>
    </row>
    <row r="8" spans="1:7" ht="16.5" customHeight="1">
      <c r="D8" s="153"/>
      <c r="E8" s="153" t="s">
        <v>747</v>
      </c>
      <c r="F8" s="153" t="s">
        <v>748</v>
      </c>
      <c r="G8" s="153" t="s">
        <v>1355</v>
      </c>
    </row>
    <row r="9" spans="1:7" ht="21">
      <c r="A9" s="171" t="s">
        <v>759</v>
      </c>
      <c r="B9" s="171"/>
      <c r="D9" s="154"/>
      <c r="E9" s="154" t="s">
        <v>749</v>
      </c>
      <c r="F9" s="154" t="s">
        <v>750</v>
      </c>
      <c r="G9" s="154" t="s">
        <v>1356</v>
      </c>
    </row>
    <row r="10" spans="1:7">
      <c r="A10" s="152" t="s">
        <v>537</v>
      </c>
      <c r="B10" s="152" t="s">
        <v>538</v>
      </c>
      <c r="D10" s="153" t="s">
        <v>1377</v>
      </c>
      <c r="E10" s="153" t="s">
        <v>757</v>
      </c>
      <c r="F10" s="153" t="s">
        <v>758</v>
      </c>
      <c r="G10" s="153" t="s">
        <v>1357</v>
      </c>
    </row>
    <row r="11" spans="1:7" ht="16.5" customHeight="1">
      <c r="A11" s="153" t="s">
        <v>764</v>
      </c>
      <c r="B11" s="153" t="s">
        <v>765</v>
      </c>
      <c r="D11" s="154"/>
      <c r="E11" s="154" t="s">
        <v>760</v>
      </c>
      <c r="F11" s="154" t="s">
        <v>761</v>
      </c>
      <c r="G11" s="154" t="s">
        <v>1358</v>
      </c>
    </row>
    <row r="12" spans="1:7" ht="16.5" customHeight="1">
      <c r="A12" s="154" t="s">
        <v>768</v>
      </c>
      <c r="B12" s="154" t="s">
        <v>769</v>
      </c>
      <c r="D12" s="153"/>
      <c r="E12" s="153" t="s">
        <v>762</v>
      </c>
      <c r="F12" s="153" t="s">
        <v>763</v>
      </c>
      <c r="G12" s="153" t="s">
        <v>1359</v>
      </c>
    </row>
    <row r="13" spans="1:7" ht="16.5" customHeight="1">
      <c r="A13" s="153" t="s">
        <v>772</v>
      </c>
      <c r="B13" s="153" t="s">
        <v>773</v>
      </c>
      <c r="D13" s="154" t="s">
        <v>1378</v>
      </c>
      <c r="E13" s="154" t="s">
        <v>766</v>
      </c>
      <c r="F13" s="154" t="s">
        <v>767</v>
      </c>
      <c r="G13" s="154" t="s">
        <v>1360</v>
      </c>
    </row>
    <row r="14" spans="1:7" ht="16.5" customHeight="1">
      <c r="A14" s="154" t="s">
        <v>776</v>
      </c>
      <c r="B14" s="154" t="s">
        <v>777</v>
      </c>
      <c r="D14" s="153"/>
      <c r="E14" s="153" t="s">
        <v>770</v>
      </c>
      <c r="F14" s="153" t="s">
        <v>771</v>
      </c>
      <c r="G14" s="153" t="s">
        <v>1361</v>
      </c>
    </row>
    <row r="15" spans="1:7" ht="16.5" customHeight="1">
      <c r="A15" s="153" t="s">
        <v>780</v>
      </c>
      <c r="B15" s="153" t="s">
        <v>781</v>
      </c>
      <c r="D15" s="154"/>
      <c r="E15" s="154" t="s">
        <v>774</v>
      </c>
      <c r="F15" s="154" t="s">
        <v>775</v>
      </c>
      <c r="G15" s="154" t="s">
        <v>1362</v>
      </c>
    </row>
    <row r="16" spans="1:7" ht="16.5" customHeight="1">
      <c r="A16" s="154" t="s">
        <v>782</v>
      </c>
      <c r="B16" s="154" t="s">
        <v>783</v>
      </c>
      <c r="D16" s="153"/>
      <c r="E16" s="153" t="s">
        <v>778</v>
      </c>
      <c r="F16" s="153" t="s">
        <v>779</v>
      </c>
      <c r="G16" s="153" t="s">
        <v>1363</v>
      </c>
    </row>
    <row r="17" spans="1:7" ht="16.5" customHeight="1">
      <c r="A17" s="153" t="s">
        <v>786</v>
      </c>
      <c r="B17" s="153" t="s">
        <v>787</v>
      </c>
      <c r="D17" s="154" t="s">
        <v>1379</v>
      </c>
      <c r="E17" s="154" t="s">
        <v>784</v>
      </c>
      <c r="F17" s="154" t="s">
        <v>785</v>
      </c>
      <c r="G17" s="154" t="s">
        <v>1364</v>
      </c>
    </row>
    <row r="18" spans="1:7">
      <c r="A18" s="154" t="s">
        <v>790</v>
      </c>
      <c r="B18" s="154" t="s">
        <v>791</v>
      </c>
      <c r="D18" s="153"/>
      <c r="E18" s="153" t="s">
        <v>788</v>
      </c>
      <c r="F18" s="153" t="s">
        <v>789</v>
      </c>
      <c r="G18" s="153" t="s">
        <v>1365</v>
      </c>
    </row>
    <row r="19" spans="1:7" ht="16.5" customHeight="1">
      <c r="A19" s="153" t="s">
        <v>794</v>
      </c>
      <c r="B19" s="153" t="s">
        <v>795</v>
      </c>
      <c r="D19" s="154"/>
      <c r="E19" s="154" t="s">
        <v>792</v>
      </c>
      <c r="F19" s="154" t="s">
        <v>793</v>
      </c>
      <c r="G19" s="154" t="s">
        <v>1366</v>
      </c>
    </row>
    <row r="20" spans="1:7" ht="16.5" customHeight="1">
      <c r="D20" s="153"/>
      <c r="E20" s="153" t="s">
        <v>427</v>
      </c>
      <c r="F20" s="153" t="s">
        <v>796</v>
      </c>
      <c r="G20" s="153" t="s">
        <v>1367</v>
      </c>
    </row>
    <row r="21" spans="1:7" ht="21">
      <c r="A21" s="171" t="s">
        <v>800</v>
      </c>
      <c r="B21" s="171"/>
      <c r="D21" s="154" t="s">
        <v>1380</v>
      </c>
      <c r="E21" s="154" t="s">
        <v>803</v>
      </c>
      <c r="F21" s="154" t="s">
        <v>1368</v>
      </c>
      <c r="G21" s="154" t="s">
        <v>1369</v>
      </c>
    </row>
    <row r="22" spans="1:7" ht="16.5" customHeight="1">
      <c r="A22" s="152" t="s">
        <v>537</v>
      </c>
      <c r="B22" s="152" t="s">
        <v>538</v>
      </c>
      <c r="D22" s="153"/>
      <c r="E22" s="153" t="s">
        <v>1370</v>
      </c>
      <c r="F22" s="153" t="s">
        <v>1371</v>
      </c>
      <c r="G22" s="153" t="s">
        <v>1372</v>
      </c>
    </row>
    <row r="23" spans="1:7" ht="16.5" customHeight="1">
      <c r="A23" s="153" t="s">
        <v>804</v>
      </c>
      <c r="B23" s="153" t="s">
        <v>805</v>
      </c>
      <c r="D23" s="154" t="s">
        <v>1381</v>
      </c>
      <c r="E23" s="154" t="s">
        <v>798</v>
      </c>
      <c r="F23" s="154" t="s">
        <v>799</v>
      </c>
      <c r="G23" s="154" t="s">
        <v>1373</v>
      </c>
    </row>
    <row r="24" spans="1:7" ht="16.5" customHeight="1">
      <c r="A24" s="154" t="s">
        <v>809</v>
      </c>
      <c r="B24" s="154" t="s">
        <v>810</v>
      </c>
      <c r="D24" s="153"/>
      <c r="E24" s="153" t="s">
        <v>806</v>
      </c>
      <c r="F24" s="153" t="s">
        <v>807</v>
      </c>
      <c r="G24" s="153" t="s">
        <v>1374</v>
      </c>
    </row>
    <row r="25" spans="1:7" ht="16.5" customHeight="1"/>
    <row r="28" spans="1:7" ht="16.5" customHeight="1"/>
    <row r="29" spans="1:7" ht="16.5" customHeight="1"/>
    <row r="30" spans="1:7" ht="16.5" customHeight="1"/>
    <row r="31" spans="1:7" ht="16.5" customHeight="1"/>
    <row r="32" spans="1:7" ht="16.5" customHeight="1"/>
    <row r="33" ht="16.5" customHeight="1"/>
    <row r="34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5" ht="16.5" customHeight="1"/>
    <row r="46" ht="16.5" customHeight="1"/>
    <row r="48" ht="16.5" customHeight="1"/>
    <row r="49" ht="16.5" customHeight="1"/>
    <row r="50" ht="16.5" customHeight="1"/>
    <row r="51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5" ht="16.5" customHeight="1"/>
    <row r="66" ht="16.5" customHeight="1"/>
    <row r="67" ht="16.5" customHeight="1"/>
    <row r="68" ht="16.5" customHeight="1"/>
    <row r="73" ht="16.5" customHeight="1"/>
    <row r="74" ht="16.5" customHeight="1"/>
    <row r="75" ht="16.5" customHeight="1"/>
    <row r="76" ht="16.5" customHeight="1"/>
    <row r="77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8" ht="16.5" customHeight="1"/>
    <row r="89" ht="16.5" customHeight="1"/>
    <row r="90" ht="16.5" customHeight="1"/>
    <row r="91" ht="16.5" customHeight="1"/>
    <row r="92" ht="16.5" customHeight="1"/>
  </sheetData>
  <mergeCells count="4">
    <mergeCell ref="A21:B21"/>
    <mergeCell ref="A9:B9"/>
    <mergeCell ref="A4:B4"/>
    <mergeCell ref="D4:G4"/>
  </mergeCells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A3EF58-E97A-47A6-9134-11681E9CC635}">
  <sheetPr>
    <tabColor theme="9" tint="0.79998168889431442"/>
  </sheetPr>
  <dimension ref="A1:D22"/>
  <sheetViews>
    <sheetView zoomScale="85" zoomScaleNormal="85" workbookViewId="0">
      <selection activeCell="H14" sqref="H14"/>
    </sheetView>
  </sheetViews>
  <sheetFormatPr defaultRowHeight="17.399999999999999"/>
  <cols>
    <col min="1" max="1" width="25.09765625" bestFit="1" customWidth="1"/>
    <col min="2" max="2" width="22.796875" bestFit="1" customWidth="1"/>
    <col min="3" max="3" width="28.69921875" bestFit="1" customWidth="1"/>
    <col min="4" max="4" width="42.796875" bestFit="1" customWidth="1"/>
  </cols>
  <sheetData>
    <row r="1" spans="1:4" ht="28.2" thickBot="1">
      <c r="A1" s="172" t="s">
        <v>1291</v>
      </c>
      <c r="B1" s="172"/>
      <c r="C1" s="172"/>
      <c r="D1" s="172"/>
    </row>
    <row r="2" spans="1:4" ht="18" thickBot="1">
      <c r="A2" s="77" t="s">
        <v>418</v>
      </c>
      <c r="B2" s="77" t="s">
        <v>612</v>
      </c>
      <c r="C2" s="77" t="s">
        <v>1241</v>
      </c>
      <c r="D2" s="77" t="s">
        <v>1242</v>
      </c>
    </row>
    <row r="3" spans="1:4" ht="18" thickBot="1">
      <c r="A3" s="76" t="s">
        <v>1383</v>
      </c>
      <c r="B3" s="76" t="s">
        <v>1243</v>
      </c>
      <c r="C3" s="76" t="s">
        <v>1244</v>
      </c>
      <c r="D3" s="76" t="s">
        <v>1245</v>
      </c>
    </row>
    <row r="4" spans="1:4" ht="18" thickBot="1">
      <c r="A4" s="75" t="s">
        <v>1246</v>
      </c>
      <c r="B4" s="75" t="s">
        <v>1247</v>
      </c>
      <c r="C4" s="75" t="s">
        <v>1248</v>
      </c>
      <c r="D4" s="75" t="s">
        <v>1249</v>
      </c>
    </row>
    <row r="5" spans="1:4" ht="18" thickBot="1">
      <c r="A5" s="76" t="s">
        <v>1250</v>
      </c>
      <c r="B5" s="76" t="s">
        <v>1251</v>
      </c>
      <c r="C5" s="76" t="s">
        <v>1252</v>
      </c>
      <c r="D5" s="76" t="s">
        <v>1253</v>
      </c>
    </row>
    <row r="6" spans="1:4" ht="18" thickBot="1">
      <c r="A6" s="75" t="s">
        <v>1254</v>
      </c>
      <c r="B6" s="75" t="s">
        <v>1255</v>
      </c>
      <c r="C6" s="75" t="s">
        <v>1256</v>
      </c>
      <c r="D6" s="75" t="s">
        <v>1257</v>
      </c>
    </row>
    <row r="7" spans="1:4" ht="18" thickBot="1">
      <c r="A7" s="76" t="s">
        <v>1258</v>
      </c>
      <c r="B7" s="76" t="s">
        <v>1259</v>
      </c>
      <c r="C7" s="76" t="s">
        <v>1260</v>
      </c>
      <c r="D7" s="76" t="s">
        <v>1261</v>
      </c>
    </row>
    <row r="10" spans="1:4" ht="28.2" thickBot="1">
      <c r="A10" s="172" t="s">
        <v>1292</v>
      </c>
      <c r="B10" s="172"/>
      <c r="C10" s="172"/>
      <c r="D10" s="172"/>
    </row>
    <row r="11" spans="1:4" ht="18" thickBot="1">
      <c r="A11" s="77" t="s">
        <v>418</v>
      </c>
      <c r="B11" s="77" t="s">
        <v>1262</v>
      </c>
      <c r="C11" s="77" t="s">
        <v>1263</v>
      </c>
      <c r="D11" s="77" t="s">
        <v>1264</v>
      </c>
    </row>
    <row r="12" spans="1:4" ht="18" thickBot="1">
      <c r="A12" s="76" t="s">
        <v>1382</v>
      </c>
      <c r="B12" s="76" t="s">
        <v>1265</v>
      </c>
      <c r="C12" s="76" t="s">
        <v>1266</v>
      </c>
      <c r="D12" s="76" t="s">
        <v>1267</v>
      </c>
    </row>
    <row r="13" spans="1:4" ht="18" thickBot="1">
      <c r="A13" s="75"/>
      <c r="B13" s="75" t="s">
        <v>1268</v>
      </c>
      <c r="C13" s="75" t="s">
        <v>1269</v>
      </c>
      <c r="D13" s="75" t="s">
        <v>1270</v>
      </c>
    </row>
    <row r="14" spans="1:4" ht="18" thickBot="1">
      <c r="A14" s="76" t="s">
        <v>1271</v>
      </c>
      <c r="B14" s="76" t="s">
        <v>1214</v>
      </c>
      <c r="C14" s="76" t="s">
        <v>801</v>
      </c>
      <c r="D14" s="76" t="s">
        <v>1272</v>
      </c>
    </row>
    <row r="15" spans="1:4" ht="18" thickBot="1">
      <c r="A15" s="75"/>
      <c r="B15" s="75" t="s">
        <v>498</v>
      </c>
      <c r="C15" s="75" t="s">
        <v>1273</v>
      </c>
      <c r="D15" s="75" t="s">
        <v>1274</v>
      </c>
    </row>
    <row r="16" spans="1:4" ht="18" thickBot="1">
      <c r="A16" s="76"/>
      <c r="B16" s="76" t="s">
        <v>441</v>
      </c>
      <c r="C16" s="76" t="s">
        <v>798</v>
      </c>
      <c r="D16" s="76" t="s">
        <v>1275</v>
      </c>
    </row>
    <row r="17" spans="1:4" ht="18" thickBot="1">
      <c r="A17" s="75" t="s">
        <v>1276</v>
      </c>
      <c r="B17" s="75" t="s">
        <v>493</v>
      </c>
      <c r="C17" s="75" t="s">
        <v>1277</v>
      </c>
      <c r="D17" s="75" t="s">
        <v>1278</v>
      </c>
    </row>
    <row r="18" spans="1:4" ht="18" thickBot="1">
      <c r="A18" s="76"/>
      <c r="B18" s="76" t="s">
        <v>500</v>
      </c>
      <c r="C18" s="76" t="s">
        <v>1279</v>
      </c>
      <c r="D18" s="76" t="s">
        <v>1280</v>
      </c>
    </row>
    <row r="19" spans="1:4" ht="18" thickBot="1">
      <c r="A19" s="75"/>
      <c r="B19" s="75" t="s">
        <v>487</v>
      </c>
      <c r="C19" s="75" t="s">
        <v>762</v>
      </c>
      <c r="D19" s="75" t="s">
        <v>1281</v>
      </c>
    </row>
    <row r="20" spans="1:4" ht="18" thickBot="1">
      <c r="A20" s="76" t="s">
        <v>1282</v>
      </c>
      <c r="B20" s="76" t="s">
        <v>502</v>
      </c>
      <c r="C20" s="76" t="s">
        <v>803</v>
      </c>
      <c r="D20" s="76" t="s">
        <v>1283</v>
      </c>
    </row>
    <row r="21" spans="1:4" ht="18" thickBot="1">
      <c r="A21" s="75" t="s">
        <v>1284</v>
      </c>
      <c r="B21" s="75" t="s">
        <v>1285</v>
      </c>
      <c r="C21" s="75" t="s">
        <v>1286</v>
      </c>
      <c r="D21" s="75" t="s">
        <v>1287</v>
      </c>
    </row>
    <row r="22" spans="1:4" ht="18" thickBot="1">
      <c r="A22" s="76"/>
      <c r="B22" s="76" t="s">
        <v>1288</v>
      </c>
      <c r="C22" s="76" t="s">
        <v>1289</v>
      </c>
      <c r="D22" s="76" t="s">
        <v>1290</v>
      </c>
    </row>
  </sheetData>
  <mergeCells count="2">
    <mergeCell ref="A10:D10"/>
    <mergeCell ref="A1:D1"/>
  </mergeCells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035E80-87E3-4236-89BE-E6A68D4CBC9F}">
  <sheetPr>
    <tabColor theme="9" tint="0.79998168889431442"/>
  </sheetPr>
  <dimension ref="A1:C88"/>
  <sheetViews>
    <sheetView workbookViewId="0">
      <selection activeCell="D9" sqref="D9"/>
    </sheetView>
  </sheetViews>
  <sheetFormatPr defaultColWidth="9" defaultRowHeight="17.399999999999999"/>
  <cols>
    <col min="1" max="1" width="11.19921875" style="74" customWidth="1"/>
    <col min="2" max="2" width="45.09765625" style="74" customWidth="1"/>
    <col min="3" max="3" width="43.59765625" style="74" customWidth="1"/>
    <col min="4" max="4" width="46.09765625" style="74" bestFit="1" customWidth="1"/>
    <col min="5" max="5" width="39.19921875" style="74" bestFit="1" customWidth="1"/>
    <col min="6" max="16384" width="9" style="74"/>
  </cols>
  <sheetData>
    <row r="1" spans="1:3" ht="28.2" thickBot="1">
      <c r="A1" s="172" t="s">
        <v>811</v>
      </c>
      <c r="B1" s="172"/>
      <c r="C1" s="172"/>
    </row>
    <row r="2" spans="1:3" ht="21.6" thickBot="1">
      <c r="A2" s="173" t="s">
        <v>812</v>
      </c>
      <c r="B2" s="173"/>
      <c r="C2" s="173"/>
    </row>
    <row r="3" spans="1:3" ht="16.5" customHeight="1" thickBot="1">
      <c r="A3" s="77" t="s">
        <v>583</v>
      </c>
      <c r="B3" s="77" t="s">
        <v>546</v>
      </c>
      <c r="C3" s="77" t="s">
        <v>547</v>
      </c>
    </row>
    <row r="4" spans="1:3" ht="16.5" customHeight="1" thickBot="1">
      <c r="A4" s="76" t="s">
        <v>23</v>
      </c>
      <c r="B4" s="76" t="s">
        <v>813</v>
      </c>
      <c r="C4" s="79" t="s">
        <v>814</v>
      </c>
    </row>
    <row r="5" spans="1:3" ht="16.5" customHeight="1" thickBot="1">
      <c r="A5" s="75" t="s">
        <v>815</v>
      </c>
      <c r="B5" s="75" t="s">
        <v>816</v>
      </c>
      <c r="C5" s="79" t="s">
        <v>817</v>
      </c>
    </row>
    <row r="6" spans="1:3" ht="16.5" customHeight="1"/>
    <row r="7" spans="1:3" ht="21.6" thickBot="1">
      <c r="A7" s="173" t="s">
        <v>818</v>
      </c>
      <c r="B7" s="173"/>
      <c r="C7" s="173"/>
    </row>
    <row r="8" spans="1:3" ht="16.5" customHeight="1" thickBot="1">
      <c r="A8" s="77" t="s">
        <v>582</v>
      </c>
      <c r="B8" s="77" t="s">
        <v>583</v>
      </c>
      <c r="C8" s="77" t="s">
        <v>546</v>
      </c>
    </row>
    <row r="9" spans="1:3" ht="16.5" customHeight="1" thickBot="1">
      <c r="A9" s="76" t="s">
        <v>78</v>
      </c>
      <c r="B9" s="76" t="s">
        <v>819</v>
      </c>
      <c r="C9" s="76" t="s">
        <v>820</v>
      </c>
    </row>
    <row r="10" spans="1:3" ht="16.5" customHeight="1" thickBot="1">
      <c r="A10" s="75" t="s">
        <v>39</v>
      </c>
      <c r="B10" s="75" t="s">
        <v>821</v>
      </c>
      <c r="C10" s="75" t="s">
        <v>822</v>
      </c>
    </row>
    <row r="11" spans="1:3" ht="16.5" customHeight="1" thickBot="1">
      <c r="A11" s="76" t="s">
        <v>101</v>
      </c>
      <c r="B11" s="76" t="s">
        <v>823</v>
      </c>
      <c r="C11" s="76" t="s">
        <v>824</v>
      </c>
    </row>
    <row r="12" spans="1:3" ht="16.5" customHeight="1" thickBot="1">
      <c r="A12" s="75" t="s">
        <v>29</v>
      </c>
      <c r="B12" s="75" t="s">
        <v>825</v>
      </c>
      <c r="C12" s="75" t="s">
        <v>826</v>
      </c>
    </row>
    <row r="13" spans="1:3" ht="16.5" customHeight="1" thickBot="1">
      <c r="A13" s="76" t="s">
        <v>107</v>
      </c>
      <c r="B13" s="76" t="s">
        <v>827</v>
      </c>
      <c r="C13" s="76" t="s">
        <v>828</v>
      </c>
    </row>
    <row r="14" spans="1:3" ht="16.5" customHeight="1"/>
    <row r="15" spans="1:3" ht="21.6" thickBot="1">
      <c r="A15" s="173" t="s">
        <v>829</v>
      </c>
      <c r="B15" s="173"/>
      <c r="C15" s="173"/>
    </row>
    <row r="16" spans="1:3" ht="16.5" customHeight="1" thickBot="1">
      <c r="A16" s="77" t="s">
        <v>582</v>
      </c>
      <c r="B16" s="77" t="s">
        <v>583</v>
      </c>
      <c r="C16" s="77" t="s">
        <v>546</v>
      </c>
    </row>
    <row r="17" spans="1:3" ht="16.5" customHeight="1" thickBot="1">
      <c r="A17" s="76" t="s">
        <v>24</v>
      </c>
      <c r="B17" s="76" t="s">
        <v>830</v>
      </c>
      <c r="C17" s="76" t="s">
        <v>831</v>
      </c>
    </row>
    <row r="18" spans="1:3" ht="16.5" customHeight="1" thickBot="1">
      <c r="A18" s="75" t="s">
        <v>832</v>
      </c>
      <c r="B18" s="75" t="s">
        <v>833</v>
      </c>
      <c r="C18" s="75" t="s">
        <v>834</v>
      </c>
    </row>
    <row r="19" spans="1:3" ht="16.5" customHeight="1" thickBot="1">
      <c r="A19" s="76" t="s">
        <v>835</v>
      </c>
      <c r="B19" s="76" t="s">
        <v>836</v>
      </c>
      <c r="C19" s="76" t="s">
        <v>837</v>
      </c>
    </row>
    <row r="20" spans="1:3" ht="16.5" customHeight="1"/>
    <row r="21" spans="1:3" ht="16.5" customHeight="1"/>
    <row r="23" spans="1:3" ht="16.5" customHeight="1"/>
    <row r="24" spans="1:3" ht="16.5" customHeight="1"/>
    <row r="25" spans="1:3" ht="16.5" customHeight="1"/>
    <row r="26" spans="1:3" ht="16.5" customHeight="1"/>
    <row r="27" spans="1:3" ht="16.5" customHeight="1"/>
    <row r="28" spans="1:3" ht="16.5" customHeight="1"/>
    <row r="29" spans="1:3" ht="16.5" customHeight="1"/>
    <row r="30" spans="1:3" ht="16.5" customHeight="1"/>
    <row r="32" spans="1:3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1" ht="16.5" customHeight="1"/>
    <row r="42" ht="16.5" customHeight="1"/>
    <row r="44" ht="16.5" customHeight="1"/>
    <row r="45" ht="16.5" customHeight="1"/>
    <row r="46" ht="16.5" customHeight="1"/>
    <row r="47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1" ht="16.5" customHeight="1"/>
    <row r="62" ht="16.5" customHeight="1"/>
    <row r="63" ht="16.5" customHeight="1"/>
    <row r="64" ht="16.5" customHeight="1"/>
    <row r="69" ht="16.5" customHeight="1"/>
    <row r="70" ht="16.5" customHeight="1"/>
    <row r="71" ht="16.5" customHeight="1"/>
    <row r="72" ht="16.5" customHeight="1"/>
    <row r="73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4" ht="16.5" customHeight="1"/>
    <row r="85" ht="16.5" customHeight="1"/>
    <row r="86" ht="16.5" customHeight="1"/>
    <row r="87" ht="16.5" customHeight="1"/>
    <row r="88" ht="16.5" customHeight="1"/>
  </sheetData>
  <mergeCells count="4">
    <mergeCell ref="A7:C7"/>
    <mergeCell ref="A15:C15"/>
    <mergeCell ref="A2:C2"/>
    <mergeCell ref="A1:C1"/>
  </mergeCells>
  <phoneticPr fontId="1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7938EE-D4B1-4E68-BB46-147E6F988693}">
  <sheetPr>
    <tabColor rgb="FFFFC000"/>
  </sheetPr>
  <dimension ref="A1:E56"/>
  <sheetViews>
    <sheetView tabSelected="1" topLeftCell="D1" zoomScale="70" zoomScaleNormal="70" workbookViewId="0">
      <selection activeCell="E13" sqref="E13"/>
    </sheetView>
  </sheetViews>
  <sheetFormatPr defaultRowHeight="17.399999999999999"/>
  <cols>
    <col min="1" max="1" width="25.09765625" bestFit="1" customWidth="1"/>
    <col min="2" max="2" width="19.3984375" bestFit="1" customWidth="1"/>
    <col min="3" max="3" width="96" customWidth="1"/>
    <col min="4" max="4" width="85.69921875" customWidth="1"/>
    <col min="5" max="5" width="70" customWidth="1"/>
    <col min="6" max="6" width="56.09765625" bestFit="1" customWidth="1"/>
  </cols>
  <sheetData>
    <row r="1" spans="1:5" ht="30">
      <c r="A1" s="131" t="s">
        <v>1388</v>
      </c>
      <c r="B1" s="132"/>
      <c r="C1" s="132"/>
      <c r="D1" s="132"/>
      <c r="E1" s="132"/>
    </row>
    <row r="2" spans="1:5">
      <c r="A2" s="133" t="s">
        <v>1325</v>
      </c>
      <c r="B2" s="133" t="s">
        <v>1234</v>
      </c>
      <c r="C2" s="133" t="s">
        <v>838</v>
      </c>
      <c r="D2" s="133" t="s">
        <v>1238</v>
      </c>
      <c r="E2" s="133" t="s">
        <v>1543</v>
      </c>
    </row>
    <row r="3" spans="1:5">
      <c r="A3" s="134" t="s">
        <v>1526</v>
      </c>
      <c r="B3" s="134" t="s">
        <v>47</v>
      </c>
      <c r="C3" s="134" t="s">
        <v>1527</v>
      </c>
      <c r="D3" s="134" t="s">
        <v>1542</v>
      </c>
      <c r="E3" s="134" t="s">
        <v>1528</v>
      </c>
    </row>
    <row r="4" spans="1:5">
      <c r="A4" s="134" t="s">
        <v>1529</v>
      </c>
      <c r="B4" s="134" t="s">
        <v>1539</v>
      </c>
      <c r="C4" s="134" t="s">
        <v>1530</v>
      </c>
      <c r="D4" s="134" t="s">
        <v>1541</v>
      </c>
      <c r="E4" s="134" t="s">
        <v>1531</v>
      </c>
    </row>
    <row r="5" spans="1:5">
      <c r="A5" s="134" t="s">
        <v>1532</v>
      </c>
      <c r="B5" s="134" t="s">
        <v>1540</v>
      </c>
      <c r="C5" s="134" t="s">
        <v>1533</v>
      </c>
      <c r="D5" s="134" t="s">
        <v>1344</v>
      </c>
      <c r="E5" s="134" t="s">
        <v>1534</v>
      </c>
    </row>
    <row r="6" spans="1:5">
      <c r="A6" s="134" t="s">
        <v>1535</v>
      </c>
      <c r="B6" s="134" t="s">
        <v>1345</v>
      </c>
      <c r="C6" s="134" t="s">
        <v>1536</v>
      </c>
      <c r="D6" s="134" t="s">
        <v>1537</v>
      </c>
      <c r="E6" s="134" t="s">
        <v>1538</v>
      </c>
    </row>
    <row r="9" spans="1:5" ht="30">
      <c r="A9" s="131" t="s">
        <v>1386</v>
      </c>
      <c r="B9" s="132"/>
      <c r="C9" s="132"/>
      <c r="D9" s="132"/>
      <c r="E9" s="132"/>
    </row>
    <row r="10" spans="1:5">
      <c r="A10" s="133" t="s">
        <v>1421</v>
      </c>
      <c r="B10" s="133" t="s">
        <v>1234</v>
      </c>
      <c r="C10" s="133" t="s">
        <v>1490</v>
      </c>
      <c r="D10" s="133" t="s">
        <v>1238</v>
      </c>
      <c r="E10" s="133" t="s">
        <v>1543</v>
      </c>
    </row>
    <row r="11" spans="1:5">
      <c r="A11" s="135" t="s">
        <v>1491</v>
      </c>
      <c r="B11" s="135" t="s">
        <v>1492</v>
      </c>
      <c r="C11" s="135" t="s">
        <v>1493</v>
      </c>
      <c r="D11" s="174" t="s">
        <v>1544</v>
      </c>
      <c r="E11" s="135" t="s">
        <v>1494</v>
      </c>
    </row>
    <row r="12" spans="1:5">
      <c r="A12" s="135" t="s">
        <v>1495</v>
      </c>
      <c r="B12" s="135" t="s">
        <v>1496</v>
      </c>
      <c r="C12" s="135" t="s">
        <v>1497</v>
      </c>
      <c r="D12" s="135" t="s">
        <v>1330</v>
      </c>
      <c r="E12" s="135" t="s">
        <v>1548</v>
      </c>
    </row>
    <row r="13" spans="1:5">
      <c r="A13" s="135" t="s">
        <v>1498</v>
      </c>
      <c r="B13" s="135" t="s">
        <v>1499</v>
      </c>
      <c r="C13" s="135" t="s">
        <v>1500</v>
      </c>
      <c r="D13" s="135" t="s">
        <v>1501</v>
      </c>
      <c r="E13" s="135" t="s">
        <v>1502</v>
      </c>
    </row>
    <row r="14" spans="1:5">
      <c r="A14" s="135" t="s">
        <v>1503</v>
      </c>
      <c r="B14" s="135" t="s">
        <v>1504</v>
      </c>
      <c r="C14" s="135" t="s">
        <v>1505</v>
      </c>
      <c r="D14" s="135" t="s">
        <v>1506</v>
      </c>
      <c r="E14" s="135" t="s">
        <v>1507</v>
      </c>
    </row>
    <row r="15" spans="1:5">
      <c r="A15" s="135" t="s">
        <v>1508</v>
      </c>
      <c r="B15" s="135" t="s">
        <v>1509</v>
      </c>
      <c r="C15" s="135" t="s">
        <v>1510</v>
      </c>
      <c r="D15" s="135" t="s">
        <v>1511</v>
      </c>
      <c r="E15" s="135" t="s">
        <v>1512</v>
      </c>
    </row>
    <row r="16" spans="1:5">
      <c r="A16" s="135" t="s">
        <v>1513</v>
      </c>
      <c r="B16" s="135" t="s">
        <v>1514</v>
      </c>
      <c r="C16" s="135" t="s">
        <v>1515</v>
      </c>
      <c r="D16" s="135" t="s">
        <v>1516</v>
      </c>
      <c r="E16" s="135" t="s">
        <v>1517</v>
      </c>
    </row>
    <row r="17" spans="1:5">
      <c r="A17" s="135" t="s">
        <v>1518</v>
      </c>
      <c r="B17" s="135" t="s">
        <v>1519</v>
      </c>
      <c r="C17" s="135" t="s">
        <v>1520</v>
      </c>
      <c r="D17" s="135" t="s">
        <v>1471</v>
      </c>
      <c r="E17" s="135" t="s">
        <v>1521</v>
      </c>
    </row>
    <row r="18" spans="1:5">
      <c r="A18" s="135" t="s">
        <v>1522</v>
      </c>
      <c r="B18" s="135" t="s">
        <v>1523</v>
      </c>
      <c r="C18" s="135" t="s">
        <v>1524</v>
      </c>
      <c r="D18" s="135" t="s">
        <v>1476</v>
      </c>
      <c r="E18" s="135" t="s">
        <v>1525</v>
      </c>
    </row>
    <row r="21" spans="1:5" ht="30">
      <c r="A21" s="131" t="s">
        <v>1387</v>
      </c>
      <c r="B21" s="132"/>
      <c r="C21" s="132"/>
      <c r="D21" s="132"/>
      <c r="E21" s="132"/>
    </row>
    <row r="22" spans="1:5">
      <c r="A22" s="133" t="s">
        <v>1456</v>
      </c>
      <c r="B22" s="133" t="s">
        <v>1234</v>
      </c>
      <c r="C22" s="133" t="s">
        <v>838</v>
      </c>
      <c r="D22" s="133" t="s">
        <v>1238</v>
      </c>
      <c r="E22" s="133" t="s">
        <v>1543</v>
      </c>
    </row>
    <row r="23" spans="1:5">
      <c r="A23" s="134" t="s">
        <v>1457</v>
      </c>
      <c r="B23" s="134" t="s">
        <v>1546</v>
      </c>
      <c r="C23" s="134" t="s">
        <v>1458</v>
      </c>
      <c r="D23" s="134" t="s">
        <v>1544</v>
      </c>
      <c r="E23" s="134" t="s">
        <v>1334</v>
      </c>
    </row>
    <row r="24" spans="1:5">
      <c r="A24" s="134" t="s">
        <v>1459</v>
      </c>
      <c r="B24" s="134" t="s">
        <v>1452</v>
      </c>
      <c r="C24" s="134" t="s">
        <v>1460</v>
      </c>
      <c r="D24" s="134" t="s">
        <v>1330</v>
      </c>
      <c r="E24" s="134" t="s">
        <v>1335</v>
      </c>
    </row>
    <row r="25" spans="1:5">
      <c r="A25" s="134" t="s">
        <v>1461</v>
      </c>
      <c r="B25" s="134" t="s">
        <v>1462</v>
      </c>
      <c r="C25" s="134" t="s">
        <v>1463</v>
      </c>
      <c r="D25" s="134" t="s">
        <v>1464</v>
      </c>
      <c r="E25" s="134" t="s">
        <v>1465</v>
      </c>
    </row>
    <row r="26" spans="1:5">
      <c r="A26" s="134" t="s">
        <v>1466</v>
      </c>
      <c r="B26" s="134" t="s">
        <v>1453</v>
      </c>
      <c r="C26" s="134" t="s">
        <v>1467</v>
      </c>
      <c r="D26" s="134" t="s">
        <v>1331</v>
      </c>
      <c r="E26" s="134" t="s">
        <v>1454</v>
      </c>
    </row>
    <row r="27" spans="1:5">
      <c r="A27" s="134" t="s">
        <v>1468</v>
      </c>
      <c r="B27" s="134" t="s">
        <v>1469</v>
      </c>
      <c r="C27" s="134" t="s">
        <v>1470</v>
      </c>
      <c r="D27" s="134" t="s">
        <v>1471</v>
      </c>
      <c r="E27" s="134" t="s">
        <v>1472</v>
      </c>
    </row>
    <row r="28" spans="1:5">
      <c r="A28" s="134" t="s">
        <v>1332</v>
      </c>
      <c r="B28" s="134" t="s">
        <v>1293</v>
      </c>
      <c r="C28" s="134" t="s">
        <v>1336</v>
      </c>
      <c r="D28" s="134" t="s">
        <v>1295</v>
      </c>
      <c r="E28" s="134" t="s">
        <v>1337</v>
      </c>
    </row>
    <row r="29" spans="1:5">
      <c r="A29" s="134" t="s">
        <v>1333</v>
      </c>
      <c r="B29" s="134" t="s">
        <v>1235</v>
      </c>
      <c r="C29" s="134" t="s">
        <v>1338</v>
      </c>
      <c r="D29" s="134" t="s">
        <v>1294</v>
      </c>
      <c r="E29" s="134" t="s">
        <v>1339</v>
      </c>
    </row>
    <row r="30" spans="1:5">
      <c r="A30" s="134" t="s">
        <v>1328</v>
      </c>
      <c r="B30" s="134" t="s">
        <v>1547</v>
      </c>
      <c r="C30" s="134" t="s">
        <v>1340</v>
      </c>
      <c r="D30" s="134" t="s">
        <v>1545</v>
      </c>
      <c r="E30" s="134" t="s">
        <v>1326</v>
      </c>
    </row>
    <row r="31" spans="1:5">
      <c r="A31" s="134" t="s">
        <v>1473</v>
      </c>
      <c r="B31" s="134" t="s">
        <v>1474</v>
      </c>
      <c r="C31" s="134" t="s">
        <v>1475</v>
      </c>
      <c r="D31" s="134" t="s">
        <v>1476</v>
      </c>
      <c r="E31" s="134" t="s">
        <v>1477</v>
      </c>
    </row>
    <row r="32" spans="1:5">
      <c r="A32" s="134" t="s">
        <v>1478</v>
      </c>
      <c r="B32" s="134" t="s">
        <v>1343</v>
      </c>
      <c r="C32" s="134" t="s">
        <v>1479</v>
      </c>
      <c r="D32" s="134" t="s">
        <v>1480</v>
      </c>
      <c r="E32" s="134" t="s">
        <v>1481</v>
      </c>
    </row>
    <row r="33" spans="1:5">
      <c r="A33" s="134" t="s">
        <v>1329</v>
      </c>
      <c r="B33" s="134" t="s">
        <v>1237</v>
      </c>
      <c r="C33" s="134" t="s">
        <v>1341</v>
      </c>
      <c r="D33" s="134" t="s">
        <v>1327</v>
      </c>
      <c r="E33" s="134" t="s">
        <v>1239</v>
      </c>
    </row>
    <row r="34" spans="1:5">
      <c r="A34" s="134" t="s">
        <v>1482</v>
      </c>
      <c r="B34" s="134" t="s">
        <v>839</v>
      </c>
      <c r="C34" s="134" t="s">
        <v>1488</v>
      </c>
      <c r="D34" s="134" t="s">
        <v>1484</v>
      </c>
      <c r="E34" s="134" t="s">
        <v>1483</v>
      </c>
    </row>
    <row r="35" spans="1:5">
      <c r="A35" s="134" t="s">
        <v>1485</v>
      </c>
      <c r="B35" s="134" t="s">
        <v>1455</v>
      </c>
      <c r="C35" s="134" t="s">
        <v>1489</v>
      </c>
      <c r="D35" s="134" t="s">
        <v>1486</v>
      </c>
      <c r="E35" s="134" t="s">
        <v>1487</v>
      </c>
    </row>
    <row r="39" spans="1:5" ht="30">
      <c r="A39" s="131" t="s">
        <v>1389</v>
      </c>
      <c r="B39" s="132"/>
      <c r="C39" s="132"/>
      <c r="D39" s="132"/>
      <c r="E39" s="132"/>
    </row>
    <row r="40" spans="1:5">
      <c r="A40" s="133" t="s">
        <v>1394</v>
      </c>
      <c r="B40" s="133" t="s">
        <v>1395</v>
      </c>
      <c r="C40" s="133" t="s">
        <v>1396</v>
      </c>
      <c r="D40" s="133" t="s">
        <v>1238</v>
      </c>
      <c r="E40" s="133" t="s">
        <v>1543</v>
      </c>
    </row>
    <row r="41" spans="1:5">
      <c r="A41" s="134" t="s">
        <v>1397</v>
      </c>
      <c r="B41" s="134" t="s">
        <v>1398</v>
      </c>
      <c r="C41" s="134" t="s">
        <v>1399</v>
      </c>
      <c r="D41" s="134" t="s">
        <v>1400</v>
      </c>
      <c r="E41" s="134" t="s">
        <v>1401</v>
      </c>
    </row>
    <row r="42" spans="1:5">
      <c r="A42" s="134" t="s">
        <v>1402</v>
      </c>
      <c r="B42" s="134" t="s">
        <v>1403</v>
      </c>
      <c r="C42" s="134" t="s">
        <v>1404</v>
      </c>
      <c r="D42" s="134" t="s">
        <v>1405</v>
      </c>
      <c r="E42" s="134" t="s">
        <v>1406</v>
      </c>
    </row>
    <row r="43" spans="1:5">
      <c r="A43" s="134" t="s">
        <v>1407</v>
      </c>
      <c r="B43" s="134" t="s">
        <v>1408</v>
      </c>
      <c r="C43" s="134" t="s">
        <v>1409</v>
      </c>
      <c r="D43" s="134" t="s">
        <v>1410</v>
      </c>
      <c r="E43" s="134" t="s">
        <v>1411</v>
      </c>
    </row>
    <row r="44" spans="1:5">
      <c r="A44" s="134" t="s">
        <v>1412</v>
      </c>
      <c r="B44" s="134" t="s">
        <v>1413</v>
      </c>
      <c r="C44" s="134" t="s">
        <v>1414</v>
      </c>
      <c r="D44" s="134" t="s">
        <v>1415</v>
      </c>
      <c r="E44" s="134" t="s">
        <v>1416</v>
      </c>
    </row>
    <row r="45" spans="1:5">
      <c r="A45" s="134" t="s">
        <v>1417</v>
      </c>
      <c r="B45" s="134" t="s">
        <v>1343</v>
      </c>
      <c r="C45" s="134" t="s">
        <v>1418</v>
      </c>
      <c r="D45" s="134" t="s">
        <v>1419</v>
      </c>
      <c r="E45" s="134" t="s">
        <v>1420</v>
      </c>
    </row>
    <row r="46" spans="1:5">
      <c r="A46" s="134" t="s">
        <v>1444</v>
      </c>
      <c r="B46" s="134" t="s">
        <v>1398</v>
      </c>
      <c r="C46" s="134" t="s">
        <v>1445</v>
      </c>
      <c r="D46" s="134" t="s">
        <v>1446</v>
      </c>
      <c r="E46" s="134" t="s">
        <v>1447</v>
      </c>
    </row>
    <row r="47" spans="1:5">
      <c r="A47" s="134" t="s">
        <v>1448</v>
      </c>
      <c r="B47" s="134" t="s">
        <v>1342</v>
      </c>
      <c r="C47" s="134" t="s">
        <v>1449</v>
      </c>
      <c r="D47" s="134" t="s">
        <v>1450</v>
      </c>
      <c r="E47" s="134" t="s">
        <v>1451</v>
      </c>
    </row>
    <row r="49" spans="1:5" ht="30">
      <c r="A49" s="131" t="s">
        <v>1390</v>
      </c>
      <c r="B49" s="132"/>
      <c r="C49" s="132"/>
      <c r="D49" s="132"/>
      <c r="E49" s="132"/>
    </row>
    <row r="50" spans="1:5">
      <c r="A50" s="133" t="s">
        <v>1325</v>
      </c>
      <c r="B50" s="133" t="s">
        <v>1234</v>
      </c>
      <c r="C50" s="133" t="s">
        <v>838</v>
      </c>
      <c r="D50" s="133" t="s">
        <v>1238</v>
      </c>
      <c r="E50" s="133" t="s">
        <v>1543</v>
      </c>
    </row>
    <row r="51" spans="1:5">
      <c r="A51" s="134" t="s">
        <v>1426</v>
      </c>
      <c r="B51" s="134" t="s">
        <v>1320</v>
      </c>
      <c r="C51" s="134" t="s">
        <v>1427</v>
      </c>
      <c r="D51" s="134" t="s">
        <v>1324</v>
      </c>
      <c r="E51" s="134" t="s">
        <v>1428</v>
      </c>
    </row>
    <row r="52" spans="1:5">
      <c r="A52" s="134" t="s">
        <v>1429</v>
      </c>
      <c r="B52" s="134" t="s">
        <v>1430</v>
      </c>
      <c r="C52" s="134" t="s">
        <v>1431</v>
      </c>
      <c r="D52" s="134" t="s">
        <v>1432</v>
      </c>
      <c r="E52" s="134" t="s">
        <v>1433</v>
      </c>
    </row>
    <row r="53" spans="1:5">
      <c r="A53" s="134" t="s">
        <v>1422</v>
      </c>
      <c r="B53" s="134" t="s">
        <v>1317</v>
      </c>
      <c r="C53" s="134" t="s">
        <v>1434</v>
      </c>
      <c r="D53" s="134" t="s">
        <v>1321</v>
      </c>
      <c r="E53" s="134" t="s">
        <v>1435</v>
      </c>
    </row>
    <row r="54" spans="1:5">
      <c r="A54" s="134" t="s">
        <v>1423</v>
      </c>
      <c r="B54" s="134" t="s">
        <v>1318</v>
      </c>
      <c r="C54" s="134" t="s">
        <v>1436</v>
      </c>
      <c r="D54" s="134" t="s">
        <v>1322</v>
      </c>
      <c r="E54" s="134" t="s">
        <v>1437</v>
      </c>
    </row>
    <row r="55" spans="1:5">
      <c r="A55" s="134" t="s">
        <v>1424</v>
      </c>
      <c r="B55" s="134" t="s">
        <v>1319</v>
      </c>
      <c r="C55" s="134" t="s">
        <v>1438</v>
      </c>
      <c r="D55" s="134" t="s">
        <v>1323</v>
      </c>
      <c r="E55" s="134" t="s">
        <v>1439</v>
      </c>
    </row>
    <row r="56" spans="1:5">
      <c r="A56" s="134" t="s">
        <v>1425</v>
      </c>
      <c r="B56" s="134" t="s">
        <v>1440</v>
      </c>
      <c r="C56" s="134" t="s">
        <v>1441</v>
      </c>
      <c r="D56" s="134" t="s">
        <v>1442</v>
      </c>
      <c r="E56" s="134" t="s">
        <v>1443</v>
      </c>
    </row>
  </sheetData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717E85B13B0F69449A7AE22DDC6357C0" ma:contentTypeVersion="16" ma:contentTypeDescription="새 문서를 만듭니다." ma:contentTypeScope="" ma:versionID="e9049d61f3d045d93956733e5258a44c">
  <xsd:schema xmlns:xsd="http://www.w3.org/2001/XMLSchema" xmlns:xs="http://www.w3.org/2001/XMLSchema" xmlns:p="http://schemas.microsoft.com/office/2006/metadata/properties" xmlns:ns3="4c9050c6-dabd-486d-8279-f27854b72a93" xmlns:ns4="a0cf8b25-cb36-4180-b4df-e5d8d555f1bc" targetNamespace="http://schemas.microsoft.com/office/2006/metadata/properties" ma:root="true" ma:fieldsID="bcc08395ba8a851a60f30d5344c5adcc" ns3:_="" ns4:_="">
    <xsd:import namespace="4c9050c6-dabd-486d-8279-f27854b72a93"/>
    <xsd:import namespace="a0cf8b25-cb36-4180-b4df-e5d8d555f1bc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DateTaken" minOccurs="0"/>
                <xsd:element ref="ns4:MediaServiceAutoTags" minOccurs="0"/>
                <xsd:element ref="ns4:MediaServiceGenerationTime" minOccurs="0"/>
                <xsd:element ref="ns4:MediaServiceEventHashCode" minOccurs="0"/>
                <xsd:element ref="ns4:MediaServiceOCR" minOccurs="0"/>
                <xsd:element ref="ns4:MediaServiceLocation" minOccurs="0"/>
                <xsd:element ref="ns4:_activity" minOccurs="0"/>
                <xsd:element ref="ns4:MediaServiceObjectDetectorVersions" minOccurs="0"/>
                <xsd:element ref="ns4:MediaServiceSystemTags" minOccurs="0"/>
                <xsd:element ref="ns4:MediaServiceSearchProperties" minOccurs="0"/>
                <xsd:element ref="ns4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c9050c6-dabd-486d-8279-f27854b72a9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공유 대상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세부 정보 공유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힌트 해시 공유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0cf8b25-cb36-4180-b4df-e5d8d555f1b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_activity" ma:index="19" nillable="true" ma:displayName="_activity" ma:hidden="true" ma:internalName="_activity">
      <xsd:simpleType>
        <xsd:restriction base="dms:Note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1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��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a0cf8b25-cb36-4180-b4df-e5d8d555f1bc" xsi:nil="true"/>
  </documentManagement>
</p:properties>
</file>

<file path=customXml/itemProps1.xml><?xml version="1.0" encoding="utf-8"?>
<ds:datastoreItem xmlns:ds="http://schemas.openxmlformats.org/officeDocument/2006/customXml" ds:itemID="{F80FD0A0-24DB-4E7E-9D55-24C01AE7DEB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ED5E2D8-C6BD-4A53-806F-54BC8C7FFC3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c9050c6-dabd-486d-8279-f27854b72a93"/>
    <ds:schemaRef ds:uri="a0cf8b25-cb36-4180-b4df-e5d8d555f1b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56B8DFA-03E2-423D-9497-ADEBAEBD2E9F}">
  <ds:schemaRefs>
    <ds:schemaRef ds:uri="http://schemas.microsoft.com/DataMashup"/>
  </ds:schemaRefs>
</ds:datastoreItem>
</file>

<file path=customXml/itemProps4.xml><?xml version="1.0" encoding="utf-8"?>
<ds:datastoreItem xmlns:ds="http://schemas.openxmlformats.org/officeDocument/2006/customXml" ds:itemID="{D0974072-3255-4476-A817-BE9EBB972706}">
  <ds:schemaRefs>
    <ds:schemaRef ds:uri="http://schemas.microsoft.com/office/2006/documentManagement/types"/>
    <ds:schemaRef ds:uri="4c9050c6-dabd-486d-8279-f27854b72a93"/>
    <ds:schemaRef ds:uri="http://schemas.microsoft.com/office/2006/metadata/properties"/>
    <ds:schemaRef ds:uri="http://purl.org/dc/dcmitype/"/>
    <ds:schemaRef ds:uri="http://schemas.openxmlformats.org/package/2006/metadata/core-properties"/>
    <ds:schemaRef ds:uri="http://purl.org/dc/terms/"/>
    <ds:schemaRef ds:uri="a0cf8b25-cb36-4180-b4df-e5d8d555f1bc"/>
    <ds:schemaRef ds:uri="http://purl.org/dc/elements/1.1/"/>
    <ds:schemaRef ds:uri="http://www.w3.org/XML/1998/namespace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14</vt:i4>
      </vt:variant>
      <vt:variant>
        <vt:lpstr>이름 지정된 범위</vt:lpstr>
      </vt:variant>
      <vt:variant>
        <vt:i4>1</vt:i4>
      </vt:variant>
    </vt:vector>
  </HeadingPairs>
  <TitlesOfParts>
    <vt:vector size="15" baseType="lpstr">
      <vt:lpstr>소재x지퍼</vt:lpstr>
      <vt:lpstr>디자인x봉제구조</vt:lpstr>
      <vt:lpstr>소재x부자재</vt:lpstr>
      <vt:lpstr>소재x소재물성</vt:lpstr>
      <vt:lpstr>소재x아트웍기법</vt:lpstr>
      <vt:lpstr>고어텍스원단</vt:lpstr>
      <vt:lpstr>기타</vt:lpstr>
      <vt:lpstr>원단구분</vt:lpstr>
      <vt:lpstr>지퍼 구분</vt:lpstr>
      <vt:lpstr>아트웍구분</vt:lpstr>
      <vt:lpstr>디테일구분</vt:lpstr>
      <vt:lpstr>부자재구분</vt:lpstr>
      <vt:lpstr>워싱구분</vt:lpstr>
      <vt:lpstr>경고알람기준</vt:lpstr>
      <vt:lpstr>디자인x봉제구조!_FilterDatabase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valerie(김수빈) F/KR/ML/MD/SO/QM/QA</dc:creator>
  <cp:keywords/>
  <dc:description/>
  <cp:lastModifiedBy>Jane.(손은지) F/KR/ML/MD/SO/QM/TD</cp:lastModifiedBy>
  <cp:revision/>
  <dcterms:created xsi:type="dcterms:W3CDTF">2026-04-20T09:19:53Z</dcterms:created>
  <dcterms:modified xsi:type="dcterms:W3CDTF">2026-04-26T03:25:52Z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0x010100717E85B13B0F69449A7AE22DDC6357C0</vt:lpwstr>
  </property>
</Properties>
</file>